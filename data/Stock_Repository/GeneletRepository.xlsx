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G0" sheetId="1" r:id="rId5"/>
    <sheet name="G1" sheetId="2" r:id="rId6"/>
    <sheet name="G2" sheetId="3" r:id="rId7"/>
    <sheet name="G3" sheetId="4" r:id="rId8"/>
    <sheet name="G4" sheetId="5" r:id="rId9"/>
    <sheet name="G5" sheetId="6" r:id="rId10"/>
    <sheet name="G8" sheetId="7" r:id="rId11"/>
    <sheet name="G9" sheetId="8" r:id="rId12"/>
    <sheet name="G13" sheetId="9" r:id="rId13"/>
    <sheet name="G20" sheetId="10" r:id="rId14"/>
    <sheet name="G21" sheetId="11" r:id="rId15"/>
    <sheet name="G22" sheetId="12" r:id="rId16"/>
    <sheet name="Signalling" sheetId="13" r:id="rId17"/>
    <sheet name="Dummy and Junk" sheetId="14" r:id="rId18"/>
    <sheet name="Glue" sheetId="15" r:id="rId19"/>
    <sheet name="Conventions" sheetId="16" r:id="rId2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<sst xmlns="http://schemas.openxmlformats.org/spreadsheetml/2006/main" uniqueCount="663">
  <si>
    <t>Sequence Name</t>
  </si>
  <si>
    <t>A260</t>
  </si>
  <si>
    <t>Concentration (uM)</t>
  </si>
  <si>
    <t>Mod Present</t>
  </si>
  <si>
    <t>Sequence</t>
  </si>
  <si>
    <t>Purification</t>
  </si>
  <si>
    <t>Extinction Coefficient</t>
  </si>
  <si>
    <t>Need Reordered?</t>
  </si>
  <si>
    <t>Date Acquired</t>
  </si>
  <si>
    <t>G0S1'-nt</t>
  </si>
  <si>
    <t>No</t>
  </si>
  <si>
    <t>ATT GAG GTA AGA AAG GTA AGG ATA ATA CGA CTC ACT ATA GGG AGA TTC GTC TCC CGT CAC TGT CTG GTT AAT CTG TAT GTC</t>
  </si>
  <si>
    <t>HPLC</t>
  </si>
  <si>
    <t>A0</t>
  </si>
  <si>
    <t>TAT TAT CCT TAC CTT TCT TAC CTC AAT</t>
  </si>
  <si>
    <t>G0S1'-nt  (5TEX615)</t>
  </si>
  <si>
    <t>Yes</t>
  </si>
  <si>
    <t>/5TEX615/ATT GAG GTA AGA AAG GTA AGG ATA ATA CGA CTC ACT ATA GGG AGA TTC GTC TCC CGT CAC TGT CTG GTT AAT CTG TAT GTC</t>
  </si>
  <si>
    <t>G1S1-nt F</t>
  </si>
  <si>
    <t>/5Cy3/TCC TTC CAT GCA CGC CAA ACC GTG GCG ACG TAA TAC GAC TCA CTA TAG ACA TAC AGA TTA ACC AGA CAG TGA C</t>
  </si>
  <si>
    <t>C1-t</t>
  </si>
  <si>
    <t>GAG TAG GTC GTC GCC ACG GTT TGG CGT TCA TGG AAG GAT TTG GGA GAC GAA TCT CCC TAT AGT GAG TCG</t>
  </si>
  <si>
    <t>R1-t</t>
  </si>
  <si>
    <t>TCC AGC TCT ATT ACG TCG CCA CGG TTT GGC GTG CAT GGG AGA CGA ATC TCC CTA TAG TGA GTC G</t>
  </si>
  <si>
    <t>Blk 1</t>
  </si>
  <si>
    <t>GAG TAG GTC GTC GCC ACG GTT TGG CGT GCA TGG AAG GA</t>
  </si>
  <si>
    <t>DNA C1</t>
  </si>
  <si>
    <t>TCC TTC CAT GAA CGC CAA ACC GTG GCG ACG ACC TAC TC</t>
  </si>
  <si>
    <t>Act 1</t>
  </si>
  <si>
    <t>TCC AGC TCT ATT ACG TCG CCA CGG TTT GGC GTG CA/3IAbRQSp/</t>
  </si>
  <si>
    <t>G1Dummy-nt</t>
  </si>
  <si>
    <t>TCC TTC CAT GCA CGC CAA ACC GTG GCG ACG TAA TAC GAC TCA CTA TAG GGA GA</t>
  </si>
  <si>
    <t>G1Dummy-nt F</t>
  </si>
  <si>
    <t>/5HEX/TCC TTC CAT GCA CGC CAA ACC GTG GCG ACG TAA TAC GAC TCA CTA TAG GGA GA</t>
  </si>
  <si>
    <t>*G1R4-nt</t>
  </si>
  <si>
    <t>TGC ACG CCA AAC CGT GGC GAC GTA ATA CGA CTC ACT ATA GGG AGA TTC GTC TCC CAT CTT CCA GGT ACA CCC TGG CTC TAA TAT CCT CGC A</t>
  </si>
  <si>
    <t>PAGE</t>
  </si>
  <si>
    <t>G1Y1-nt F</t>
  </si>
  <si>
    <t>/5TYE665/TCC TTC CAT GCA CGC CAA ACC GTG GCG ACG TAA TAC GAC TCA CTA TAG GGA GAT TCG TCT CCC AGT AGA GTA TGA AGT GAT GGA T</t>
  </si>
  <si>
    <t>G1Y1-nt</t>
  </si>
  <si>
    <t>TCC TTC CAT GCA CGC CAA ACC GTG GCG ACG TAA TAC GAC TCA CTA TAG GGA GAT TCG TCT CCC AGT AGA GTA TGA AGT GAT GGA T</t>
  </si>
  <si>
    <t>G1R2-nt</t>
  </si>
  <si>
    <t>TCC TTC CAT GCA CGC CAA ACC GTG GCG ACG TAA TAC GAC TCA CTA TAG GGA GAT TCG TCT CCC ATT CAG GTC AAT AAG TGA CCA AGT AAT AGT GGG</t>
  </si>
  <si>
    <t>*G1R2-nt</t>
  </si>
  <si>
    <t>TGC ACG CCA AAC CGT GGC GAC GTA ATA CGA CTC ACT ATA GGG AGA TTC GTC TCC CAT TCA GGT CAA TAA GTG ACC AAG TAA TAG TGG GAT G</t>
  </si>
  <si>
    <t>*G1R2-nt F</t>
  </si>
  <si>
    <t>/5ATTO488N/TGC ACG CCA AAC CGT GGC GAC GTA ATA CGA CTC ACT ATA GGG AGA TTC GTC TCC CAT TCA GGT CAA TAA GTG ACC AAG TAA TAG TGG GAT G</t>
  </si>
  <si>
    <t>G1S1-nt</t>
  </si>
  <si>
    <t>TCC TTC CAT GCA CGC CAA ACC GTG GCG ACG TAA TAC GAC TCA CTA TAG ACA TAC AGA TTA ACC AGA CAG TGA C</t>
  </si>
  <si>
    <t>DNA R1</t>
  </si>
  <si>
    <t>TGC ACG CCA AAC CGT GGC GAC GTA ATA GAG CTG GA</t>
  </si>
  <si>
    <t>G1C3-nt</t>
  </si>
  <si>
    <t>TCC TTC CAT GCA CGC CAA ACC GTG GCG ACG TAA TAC GAC TCA CTA TAG GGA GAT TCG TCT CCC AGA AGA TGA AGA TGT ACC GTA TAG GTA CTA GGA ACG A</t>
  </si>
  <si>
    <t>A1 (no q) (no HPLC)</t>
  </si>
  <si>
    <t>TCC AGC TCT ATT ACG TCG CCA CGG TTT GGC GTG CA</t>
  </si>
  <si>
    <t>Standard Desalting</t>
  </si>
  <si>
    <t>G1C9-nt</t>
  </si>
  <si>
    <t>TCC TTC CAT GCA CGC CAA ACC GTG GCG ACG TAA TAC GAC TCA CTA TAG GGA GAT TCG TCT CCC AAC CAA CTA CCT CTG ACT GTA ACC CAG TCT CTC GCC C</t>
  </si>
  <si>
    <t>mpB1</t>
  </si>
  <si>
    <t>GAG TAG GTmU mAmUmU mACG TCG CCA CGG TTT GGC GTG CAT GGA AGG A</t>
  </si>
  <si>
    <t>pre-C1-nt</t>
  </si>
  <si>
    <t>TTC TAA TAC GAC TCA CTA TAG GGA GAT TCG TCT CCC AAA TCC TTC CAT GAA CGC CAA ACC GTG GCG ACG ACC TAC TC</t>
  </si>
  <si>
    <t>pre-C1-t</t>
  </si>
  <si>
    <t>GAG TAG GTC GTC GCC ACG GTT TGG CGT TCA TGG AAG GAT TTG GGA GAC GAA TCT CCC TAT AGT GAG TCG TAT TAG AA</t>
  </si>
  <si>
    <t>A1 (no q)</t>
  </si>
  <si>
    <t>U-mpC1-nt</t>
  </si>
  <si>
    <t>TTC TAA TAC GAC TCA CTA TAG GGA GAT TCG TCT CCC AAA TCC TTC CAT GAA CGC CAA ACC GTG GCG ACG AAT AAA CCT ACT C</t>
  </si>
  <si>
    <t>U-mpC1-t</t>
  </si>
  <si>
    <t>GAG TAG GTT TAT TCG TCG CCA CGG TTT GGC GTT CAT GGA AGG ATT TGG GAG ACG AAT CTC CCT ATA GTG AGT CGT ATT AGA A</t>
  </si>
  <si>
    <t>G1S1-t</t>
  </si>
  <si>
    <t>GTC ACT GTC TGG TTA ATC TGT ATG TCT ATA GTG AGT CGT ATT ACG TCG CCA CGG TTT GGC GTG CAT GGA AGG A</t>
  </si>
  <si>
    <t>m2d4A1</t>
  </si>
  <si>
    <t>TCC AGC TCT ATT ACG mUmCG CCA mCmGG TTT mGmGC GTG mCmA</t>
  </si>
  <si>
    <t>m2d4G1S1-nt</t>
  </si>
  <si>
    <t>TCC TTC CAT mGmCA CGC mCmAA ACC mGmUG GCG mAmCG TAA TAC GAC TCA CTA TAG ACA TAC AGA TTA ACC AGA CAG TGA C</t>
  </si>
  <si>
    <t>3'm5G1S1-nt</t>
  </si>
  <si>
    <t>TCC TTC CAT GCA CGC CAA ACC GTG GCG ACG TAA TAC GAC TCA CTA TAG ACA TAC AGA TTA ACC AGA CAmG mUmGmA mC</t>
  </si>
  <si>
    <t>Mingzhi's G1C1-nt</t>
  </si>
  <si>
    <t>TCC TTC CAT GCA CGC CAA ACC GTG GCG ACG TAA TAC GAC TCA CTA TAG GGA GAT TCG TCT CCC AAA TCC TTC CAT GAA CGC CAA ACC GTG GCG ACG ACC T</t>
  </si>
  <si>
    <t>sG1S1-nt</t>
  </si>
  <si>
    <t>TCC TTC CAT CCA CGC CAA ACC GTG GCG ACG TAA TAC GAC TCA CTA TAG ACA TAC AGA TTA ACC AGA CAG TGA C</t>
  </si>
  <si>
    <t>sA1</t>
  </si>
  <si>
    <t>TCC AGC TCT ATT ACG TCG CCA CGG TTT GGC GTG GA</t>
  </si>
  <si>
    <t>sB1</t>
  </si>
  <si>
    <t>GAG TAG GTC GTC GCC ACG GTT TGG CGT GGA TGG AAG GA</t>
  </si>
  <si>
    <t>DNA sR1</t>
  </si>
  <si>
    <t>TCC ACG CCA AAC CGT GGC GAC GTA ATA GAG CTG GA</t>
  </si>
  <si>
    <t>DNA sC1</t>
  </si>
  <si>
    <t>TCC TTC CAT CCA CGC CAA ACC GTG GCG ACG ACC TAC TC</t>
  </si>
  <si>
    <t>HT_G1S1-nt</t>
  </si>
  <si>
    <t>CCT TTG CGA ACG ACG AGG TAA TGA TGG TCG TAA TAC GAC TCA CTA TAG GGA GAT TCG TCT CCC GAC ATA CAG ATT AAC CAG ACA GTG AC</t>
  </si>
  <si>
    <t>HT_A1</t>
  </si>
  <si>
    <t>CTA CCA GTT ATT ACG ACC ATC ATT ACC TTG TCG</t>
  </si>
  <si>
    <t>HT_B1</t>
  </si>
  <si>
    <t>CAT GCA ACC GAC CAT CAT TAC CTC ATC GTT CGC AGA GG</t>
  </si>
  <si>
    <t>HTG1S1-nt_1</t>
  </si>
  <si>
    <t>CGT GCT TCC ACC TCC ACC ATT CAA CGC ACG TAA TAC GAC TCA CTA TAG GGA GAT TCG TCT CCC GAC ATA CAG ATT AAC CAG ACA GTG AC</t>
  </si>
  <si>
    <t>HTG_A1_1</t>
  </si>
  <si>
    <t>CTA ACA GTC CTC CTA TTA CGT GCG TTG AAT GGT GGA GG</t>
  </si>
  <si>
    <t>HTG_B1_1</t>
  </si>
  <si>
    <t>CGT AGG CTC GTG CGT TGA ATG GTG GAG GTG GAA GCA CG</t>
  </si>
  <si>
    <t>G1S1-nt + B7</t>
  </si>
  <si>
    <t>TCC TTC CAT GCA CGC CAA ACC GTG GCG ACG TAA TAC GAC TCA CTA TAG GGA GAT TCG TCT CCC GAC ATA CAG ATT AAC CAG ACA GTG ACT TTT TTT TTT T/3Bio/</t>
  </si>
  <si>
    <t>R1-t + B7</t>
  </si>
  <si>
    <t>/5Biosg/AAA AAA AAA AAT CCA GCT CTA TTA CGT CGC CAC GGT TTG GCG TGC ATG GGA GAC GAA TCT CCC TAT AGT GAG TCG</t>
  </si>
  <si>
    <t>G1R5-nt + B7</t>
  </si>
  <si>
    <t>TCC TTC CAT GCA CGC CAA ACC GTG GCG ACG TAA TAC GAC TCA CTA TAG GGA GAT TCG TCT CCC AAC CTC GCT CGT CCT CCG AGC CTC TAA TAT TCG TCC CTT TTT TTT TTT /3Bio/</t>
  </si>
  <si>
    <t>G2C1-nt F</t>
  </si>
  <si>
    <t>/5ATTO488N/AGC CAA GAT TCA GGT CAA TAA GTG ACC AAG TAA TAC GAC TCA CTA TAG GGA GAT TCG TCT CCC AAA TCC TTC CAT GAA CGC CAA ACC GTG GCG ACG ACC T</t>
  </si>
  <si>
    <t>Act 2</t>
  </si>
  <si>
    <t>CAT CCC ACT ATT ACT TGG TCA CTT ATT GAC CTG AA/3IAbRQSp/</t>
  </si>
  <si>
    <t>G2C3-nt</t>
  </si>
  <si>
    <t>AGC CAA GAT TCA GGT CAA TAA GTG ACC AAG TAA TAC GAC TCA CTA TAG GGA GAT TCG TCT CCC AGA AGA TGA AGA TGT ACC GTA TAG GTA CTA GGA AC</t>
  </si>
  <si>
    <t>R2-t</t>
  </si>
  <si>
    <t>CAT CCC ACT ATT ACT TGG TCA CTT ATT GAC CTG AAT GGG AGA CGA ATC TCC CTA TAG TGA GTC G</t>
  </si>
  <si>
    <t>G2R3-nt</t>
  </si>
  <si>
    <t>AGC CAA GAT TCA GGT CAA TAA GTG ACC AAG TAA TAC GAC TCA CTA TAG GGA GAT TCG TCT CCC AAG GTG TAC CGT ATA GGT ACT AGT AAT ATT TGT</t>
  </si>
  <si>
    <t>*G2R3-nt F</t>
  </si>
  <si>
    <t>/5ATTO488N/TTC AGG TCA ATA AGT GAC CAA GTA ATA CGA CTC ACT ATA GGG AGA TTC GTC TCC CAA GGT GTA CCG TAT AGG TAC TAG TAA TAT TTG TCG G</t>
  </si>
  <si>
    <t>*G2R3-nt</t>
  </si>
  <si>
    <t>TTC AGG TCA ATA AGT GAC CAA GTA ATA CGA CTC ACT ATA GGG AGA TTC GTC TCC CAA GGT GTA CCG TAT AGG TAC TAG TAA TAT TTG TCG G</t>
  </si>
  <si>
    <t>G2C1-nt</t>
  </si>
  <si>
    <t>AGC CAA GAT TCA GGT CAA TAA GTG ACC AAG TAA TAC GAC TCA CTA TAG GGA GAT TCG TCT CCC AAA TCC TTC CAT GAA CGC CAA ACC GTG GCG ACG ACC T</t>
  </si>
  <si>
    <t>DNA R2</t>
  </si>
  <si>
    <t>TTC AGG TCA ATA AGT GAC CAA GTA ATA GTG GGA TG</t>
  </si>
  <si>
    <t>G2S1-nt</t>
  </si>
  <si>
    <t>AGC CAA GAT TCA GGT CAA TAA GTG ACC AAG TAA TAC GAC TCA CTA TAG ACA TAC AGA TTA ACC AGA CAG TGA C</t>
  </si>
  <si>
    <t>A2 (no q)</t>
  </si>
  <si>
    <t>CAT CCC ACT ATT ACT TGG TCA CTT ATT GAC CTG AA</t>
  </si>
  <si>
    <t>G3C1-nt F</t>
  </si>
  <si>
    <t>/5TEX615/GAA GAT GAA GGT GTA CCG TAT AGG TAC TAG TAA TAC GAC TCA CTA TAG GGA GAT TCG TCT CCC AAA TCC TTC CAT GAA CGC CAA ACC GTG GCG ACG ACC T</t>
  </si>
  <si>
    <t>Act 3</t>
  </si>
  <si>
    <t>CCG ACA AAT ATT ACT AGT ACC TAT ACG GTA CAC CT/3IAbRQSp/</t>
  </si>
  <si>
    <t>C3-t</t>
  </si>
  <si>
    <t>GCT CGT TCC TAG TAC CTA TAC GGT ACA TCT TCA TCT TCT GGG AGA CGA ATC TCC CTA TAG TGA GTC G</t>
  </si>
  <si>
    <t>G3R1-nt F</t>
  </si>
  <si>
    <t>/5TEX615/GAA GAT GAA GGT GTA CCG TAT AGG TAC TAG TAA TAC GAC TCA CTA TAG GGA GAT TCG TCT CCC ATG CAC GCC AAA CCG TGG CGA CGT AAT AGA GCT</t>
  </si>
  <si>
    <t>Blk 3</t>
  </si>
  <si>
    <t>GCT CGT TCC TAG TAC CTA TAC GGT ACA CCT TCA TCT TC</t>
  </si>
  <si>
    <t>R3-t</t>
  </si>
  <si>
    <t>CCG ACA AAT ATT ACT AGT ACC TAT ACG GTA CAC CTT GGG AGA CGA ATC TCC CTA TAG TGA GTC G</t>
  </si>
  <si>
    <t>*G3R1-nt</t>
  </si>
  <si>
    <t>AGG TGT ACC GTA TAG GTA CTA GTA ATA CGA CTC ACT ATA GGG AGA TTC GTC TCC CAT GCA CGC CAA ACC GTG GCG ACG TAA TAG AGC TGG A</t>
  </si>
  <si>
    <t>*G3R1-nt F</t>
  </si>
  <si>
    <t>/5TYE665/AGG TGT ACC GTA TAG GTA CTA GTA ATA CGA CTC ACT ATA GGG AGA TTC GTC TCC CAT GCA CGC CAA ACC GTG GCG ACG TAA TAG AGC TGG A</t>
  </si>
  <si>
    <t>G3R1-nt</t>
  </si>
  <si>
    <t>GAA GAT GAA GGT GTA CCG TAT AGG TAC TAG TAA TAC GAC TCA CTA TAG GGA GAT TCG TCT CCC ATG CAC GCC AAA CCG TGG CGA CGT AAT AGA GCT GGA</t>
  </si>
  <si>
    <t>DNA R3</t>
  </si>
  <si>
    <t>AGG TGT ACC GTA TAG GTA CTA GTA ATA TTT GTC GG</t>
  </si>
  <si>
    <t>G3C9-nt</t>
  </si>
  <si>
    <t>GAA GAT GAA GGT GTA CCG TAT AGG TAC TAG TAA TAC GAC TCA CTA TAG GGA GAT TCG TCT CCC AAC CAA CTA CCT CTG ACT GTA ACC CAG TCT CTC GCC C</t>
  </si>
  <si>
    <t>G3S1-nt</t>
  </si>
  <si>
    <t>GAA GAT GAA GGT GTA CCG TAT AGG TAC TAG TAA TAC GAC TCA CTA TAG ACA TAC AGA TTA ACC AGA CAG TGA C</t>
  </si>
  <si>
    <t>DNA C3</t>
  </si>
  <si>
    <t>GAA GAT GAA GAT GTA CCG TAT AGG TAC TAG GAA CGA GC</t>
  </si>
  <si>
    <t>G3D-nt</t>
  </si>
  <si>
    <t>/5ATTO488N/TGA AGA TGA AGG TGT ACC GTA TAG GTA CTA GTA ATA CGA CTC ACT ATA GGG AGA</t>
  </si>
  <si>
    <t>mpB3</t>
  </si>
  <si>
    <t>GCT CGT TCmU mAmUmU mACT AGT ACC TAT ACG GTA CAC CTT CAT CTT C</t>
  </si>
  <si>
    <t>mB3</t>
  </si>
  <si>
    <t>GCT CGT TCC TAG TAC CTA TAC GGT ACmA mCmCmU mUmCmA mUmCmU mUmC</t>
  </si>
  <si>
    <t>A3 (no q)</t>
  </si>
  <si>
    <t>CCG ACA AAT ATT ACT AGT ACC TAT ACG GTA CAC CT</t>
  </si>
  <si>
    <t>U-C3-nt</t>
  </si>
  <si>
    <t>TTC TAA TAC GAC TCA CTA TAG GGA GAT TCG TCT CCC AGA AGA TGA AGA TGT ACC GTA TAG GTA CTA GGA ACG AGC</t>
  </si>
  <si>
    <t>U-C3-t</t>
  </si>
  <si>
    <t>GCT CGT TCC TAG TAC CTA TAC GGT ACA TCT TCA TCT TCT GGG AGA CGA ATC TCC CTA TAG TGA GTC GTA TTA GAA</t>
  </si>
  <si>
    <t>U-mpC3-nt</t>
  </si>
  <si>
    <t>TTC TAA TAC GAC TCA CTA TAG GGA GAT TCG TCT CCC AGA AGA TGA AGA TGT ACC GTA TAG GTA CTA GAA TAA GAA CGA GC</t>
  </si>
  <si>
    <t>U-mpC3-t</t>
  </si>
  <si>
    <t>GCT CGT TCT TAT TCT AGT ACC TAT ACG GTA CAT CTT CAT CTT CTG GGA GAC GAA TCT CCC TAT AGT GAG TCG TAT TAG AA</t>
  </si>
  <si>
    <t>sG3S1-nt</t>
  </si>
  <si>
    <t>CTT CTT ACC TTC GTA CCG TAT AGG TAC TAG TAA TAC GAC TCA CTA TAG ACA TAC AGA TTA ACC AGA CAG TGA C</t>
  </si>
  <si>
    <t>sA3</t>
  </si>
  <si>
    <t>CCG ACA AAT ATT ACT AGT ACC TAT ACG GTA CGA AG</t>
  </si>
  <si>
    <t>sB3</t>
  </si>
  <si>
    <t>GCT CGT TCC TAG TAC CTA TAC GGT ACG AAG GTA AGA AG</t>
  </si>
  <si>
    <t>DNA sR3</t>
  </si>
  <si>
    <t>CTT CGT ACC GTA TAG GTA CTA GTA ATA TTT GTC GG</t>
  </si>
  <si>
    <t>DNA sC3</t>
  </si>
  <si>
    <t>CTT CTT ACC TTC GTA CCG TAT AGG TAC TAG GAA CGA GC</t>
  </si>
  <si>
    <t>*G4R1-nt</t>
  </si>
  <si>
    <t>TCT TCC AGG TAC ACC CTG GCT CTA ATA CGA CTC ACT ATA GGG AGA TTC GTC TCC CAT GCA CGC CAA ACC GTG GCG ACG TAA TAG AGC TGG A</t>
  </si>
  <si>
    <t>R4-t</t>
  </si>
  <si>
    <t>TGC GAG GAT ATT AGA GCC AGG GTG TAC CTG GAA GAT GGG AGA CGA ATC TCC CTA TAG TGA GTC G</t>
  </si>
  <si>
    <t>Act 4</t>
  </si>
  <si>
    <t>TGC GAG GAT ATT AGA GCC AGG GTG TAC CTG GAA GA/3IAbRQSp/</t>
  </si>
  <si>
    <t>*G4R1-nt F</t>
  </si>
  <si>
    <t>/5ATTO488N/TCT TCC AGG TAC ACC CTG GCT CTA ATA CGA CTC ACT ATA GGG AGA TTC GTC TCC CAT GCA CGC CAA ACC GTG GCG ACG TAA TAG AGC TGG A</t>
  </si>
  <si>
    <t>*G4D-nt F</t>
  </si>
  <si>
    <t>/5HEX/TCT TCC AGG TAC ACC CTG GCT CTA ATA CGA CTC ACT ATA GGG AGA</t>
  </si>
  <si>
    <t>*G4D-nt</t>
  </si>
  <si>
    <t>TCT TCC AGG TAC ACC CTG GCT CTA ATA CGA CTC ACT ATA GGG AGA</t>
  </si>
  <si>
    <t>G4S1-nt</t>
  </si>
  <si>
    <t>GCT CTC CAT CTT CCA GGT ACA CCC TGG CTC TAA TAC GAC TCA CTA TAG ACA TAC AGA TTA ACC AGA CAG TGA C</t>
  </si>
  <si>
    <t>G4CS8-nt (0)</t>
  </si>
  <si>
    <t>GCT CTC CAT CTT CCA GGT ACA CCC TGG CTC TAA TAC GAC TCA CTA TAG GGA GAT TCG TCT CCC AAC CTC GTC CTC TTT TGT TCT ATT C</t>
  </si>
  <si>
    <t>G4CS8-nt (1)</t>
  </si>
  <si>
    <t>GCT CTC CAT CTT CCA GGT ACA CCC TGG CTC TAA TAC GAC TCA CTA TAG GGA GAT TCG TCT CCC AAC CTC GTC CTC TAT TTG TTC TAT TC</t>
  </si>
  <si>
    <t>G4CS8-nt (2)</t>
  </si>
  <si>
    <t>GCT CTC CAT CTT CCA GGT ACA CCC TGG CTC TAA TAC GAC TCA CTA TAG GGA GAT TCG TCT CCC AAC CTC GTC CTC TAA TTT GTT CTA TTC</t>
  </si>
  <si>
    <t>B4</t>
  </si>
  <si>
    <t>GGT AGG GTG AGC CAG GGT GTA CCT GGA AGA TGG AGA GC</t>
  </si>
  <si>
    <t>A4 (no Q)</t>
  </si>
  <si>
    <t>TGC GAG GAT ATT AGA GCC AGG GTG TAC CTG GAA GA</t>
  </si>
  <si>
    <t>G5S1-nt</t>
  </si>
  <si>
    <t>TCT CTT ACC CTC GCT CGT CCT CCG AGC CTC TAA TAC GAC TCA CTA TAG ACA TAC AGA TTA ACC AGA CAG TGA C</t>
  </si>
  <si>
    <t>A5</t>
  </si>
  <si>
    <t>GGG ACG AAT ATT AGA GGC TCG GAG GAC GAG CGA GG</t>
  </si>
  <si>
    <t>B5</t>
  </si>
  <si>
    <t>GTA GTG TGG AGG CTC GGA GGA CGA GCG AGG GTA AGA GA</t>
  </si>
  <si>
    <t>A5 w/ Q</t>
  </si>
  <si>
    <t>GGG ACG AAT ATT AGA GGC TCG GAG GAC GAG CGA GG/3IAbRQSp/</t>
  </si>
  <si>
    <t>G5D-nt</t>
  </si>
  <si>
    <t>/5ATTO488N/TCT CTT ACC CTC GCT CGT CCT CCG AGC CTC TAA TAC GAC TCA CTA TAG GGA GA</t>
  </si>
  <si>
    <t>G5S1-t</t>
  </si>
  <si>
    <t>GTC ACT GTC TGG TTA ATC TGT ATG TCT ATA GTG AGT CGT ATT AGA GGC TCG GAG GAC GAG CGA GGG TAA GAG A</t>
  </si>
  <si>
    <t>AzoR5</t>
  </si>
  <si>
    <t>N/A</t>
  </si>
  <si>
    <t>CCT CGC TCG TCC TCC GAG CCT XCTXA AXTA XTTXC GXTC XCC</t>
  </si>
  <si>
    <t>12/22 A5</t>
  </si>
  <si>
    <t>GGG ACG AAT ATT AGA GGC TCG GAG G</t>
  </si>
  <si>
    <t>10/22 A5</t>
  </si>
  <si>
    <t>GGG ACG AAT ATT AGA GGC TCG GA</t>
  </si>
  <si>
    <t>8/22 A5</t>
  </si>
  <si>
    <t>GGG ACG AAT ATT AGA GGC TCG</t>
  </si>
  <si>
    <t>6/22 A5</t>
  </si>
  <si>
    <t>GGG ACG AAT ATT AGA GGC T</t>
  </si>
  <si>
    <t>12/22 G5S1-nt*</t>
  </si>
  <si>
    <t>CCT CCG AGC CTC TAA TAC GAC TCA CTA TAG ACA TAC AGA TTA ACC AGA CAG TGA C</t>
  </si>
  <si>
    <t>10/22 G5S1-nt*</t>
  </si>
  <si>
    <t>TCC GAG CCT CTA ATA CGA CTC ACT ATA GAC ATA CAG ATT AAC CAG ACA GTG AC</t>
  </si>
  <si>
    <t>8/22 G5S1-nt*</t>
  </si>
  <si>
    <t>CGA GCC TCT AAT ACG ACT CAC TAT AGA CAT ACA GAT TAA CCA GAC AGT GAC</t>
  </si>
  <si>
    <t>6/22 G5S1-nt*</t>
  </si>
  <si>
    <t>AGC CTC TAA TAC GAC TCA CTA TAG ACA TAC AGA TTA ACC AGA CAG TGA C</t>
  </si>
  <si>
    <t>15 bp AzoR5'</t>
  </si>
  <si>
    <t>GGA GGA CGA GCG AGG</t>
  </si>
  <si>
    <t>G5S1-nt + B7</t>
  </si>
  <si>
    <t>TCT CTT ACC CTC GCT CGT CCT CCG AGC CTC TAA TAC GAC TCA CTA TAG GGA GAT TCG TCT CCC GAC ATA CAG ATT AAC CAG ACA GTG ACT TTT TTT TTT T/3Bio/</t>
  </si>
  <si>
    <t>G5R1-nt + B7</t>
  </si>
  <si>
    <t>TCT CTT ACC CTC GCT CGT CCT CCG AGC CTC TAA TAC GAC TCA CTA TAG GGA GAT TCG TCT CCC ATG CAC GCC AAA CCG TGG CGA CGT AAT AGA GCT GGA TTT TTT TTT TT/3Bio/</t>
  </si>
  <si>
    <t>R5-t + B7</t>
  </si>
  <si>
    <t>/5Biosg/AAA AAA AAA AAG GGA CGA ATA TTA GAG GCT CGG AGG ACG AGC GAG GTT GGG AGA CGA ATC TCC CTA TAG TGA GTC G</t>
  </si>
  <si>
    <t>G5R20-nt + B7</t>
  </si>
  <si>
    <t>TCT CTT ACC CTC GCT CGT CCT CCG AGC CTC TAA TAC GAC TCA CTA TAG GGA GAT TCG TCT CCC AAC TTC CTG TAG TTA ATA GCG TTC AGT TTT TTT TTT T/3Bio/</t>
  </si>
  <si>
    <t>RS5-t + B7</t>
  </si>
  <si>
    <t>/5Biosg/AAA AAA AAA AAC TCT AAT ATT CGT CCC TGG GAG ACG AAT CTC CCT ATA GTG AGT CG</t>
  </si>
  <si>
    <t>RS5-t + B7 (HPLC)</t>
  </si>
  <si>
    <t>U-C8-nt</t>
  </si>
  <si>
    <t>TTC TAA TAC GAC TCA CTA TAG GGA GAT TCG TCT CCC AGA ATA GAA CAA AGG GTT AGC AGA ACC CAG AGG ACG AGG</t>
  </si>
  <si>
    <t>U-C8-t</t>
  </si>
  <si>
    <t>CCT CGT CCT CTG GGT TCT GCT AAC CCT TTG TTC TAT TCT GGG AGA CGA ATC TCC CTA TAG TGA GTC GTA TTA GAA</t>
  </si>
  <si>
    <t>CS8-t (0)</t>
  </si>
  <si>
    <t>GAA TAG AAC AAA AGA GGA CGA GGT TGG GAG ATT CGT CTC CCT ATA GTG AGT CG</t>
  </si>
  <si>
    <t>CS8-t (1)</t>
  </si>
  <si>
    <t>GAA TAG AAC AAA TAG AGG ACG AGG TTG GGA GAT TCG TCT CCC TAT AGT GAG TCG</t>
  </si>
  <si>
    <t>CS8-t (2)</t>
  </si>
  <si>
    <t>GAA TAG AAC AAA TTA GAG GAC GAG GTT GGG AGA TTC GTC TCC CTA TAG TGA GTC G</t>
  </si>
  <si>
    <t>G8S1-nt</t>
  </si>
  <si>
    <t>GAA TAG AAC AGA GGG TTA GCA GAA CCC AGA TAA TAC GAC TCA CTA TAG ACA TAC AGA TTA ACC AGA CAG TGA C</t>
  </si>
  <si>
    <t>A8</t>
  </si>
  <si>
    <t>GTC GCG TGT ATT ATC TGG GTT CTG CTA ACC CTC TG</t>
  </si>
  <si>
    <t>B8</t>
  </si>
  <si>
    <t>CCT CGT CCT CTG GGT TCT GCT AAC CCmU mCmUmG mUmUmC mUmAmU mUmC</t>
  </si>
  <si>
    <t>A8 w/ Q</t>
  </si>
  <si>
    <t>GTC GCG TGT ATT ATC TGG GTT CTG CTA ACC CTC TG/3IAbRQSp/</t>
  </si>
  <si>
    <t>G8D-nt</t>
  </si>
  <si>
    <t>/5ATTO488N/TGA ATA GAA CAG AGG GTT AGC AGA ACC CAG ATA ATA CGA CTC ACT ATA GGG AGA</t>
  </si>
  <si>
    <t>G8S1-nt + B7</t>
  </si>
  <si>
    <t>GAA TAG AAC AGA GGG TTA GCA GAA CCC AGA TAA TAC GAC TCA CTA TAG GGA GAT TCG TCT CCC GAC ATA CAG ATT AAC CAG ACA GTG ACT TTT TTT TTT T/3Bio/</t>
  </si>
  <si>
    <t>C9-t</t>
  </si>
  <si>
    <t>GAT GGG CGA GAG ACT GGG TTA CAG TCA GAG GTA GTT GGT TGG GAG ACG AAT CTC CCT ATA GTG AGT CG</t>
  </si>
  <si>
    <t>G9R4-nt</t>
  </si>
  <si>
    <t>CCA ACT ACC TAT GAC TGT AAC CCA GTC TCT TAA TAC GAC TCA CTA TAG GGA GAT TCG TCT CCC ATC TTC CAG GTA CAC CCT GGC TCT AAT ATC CTC GCA</t>
  </si>
  <si>
    <t>A9</t>
  </si>
  <si>
    <t>AGC AGA AGT ATT AAG AGA CTG GGT TAC AGT CAT AG</t>
  </si>
  <si>
    <t>B9</t>
  </si>
  <si>
    <t>GAT GGG CGA GAG ACT GGG TTA CAG TCmA mUmAmG mGmUmA mGmUmU mGmG</t>
  </si>
  <si>
    <t>DNA C9</t>
  </si>
  <si>
    <t>CCA ACT ACC TCT GAC TGT AAC CCA GTC TCT CGC CCA TC</t>
  </si>
  <si>
    <t>G13S1-nt</t>
  </si>
  <si>
    <t>TGT CCA TAT CTA GAC CGT CTG ACA CGG TGC GTA ATA CGA CTC ACT ATA GAC ATA CAG ATT AAC CAG ACA GTG AC</t>
  </si>
  <si>
    <t>A13</t>
  </si>
  <si>
    <t>TCT CCG GCT ATT ACG CAC CGT GTC AGA CGG TCT AG</t>
  </si>
  <si>
    <t>B13</t>
  </si>
  <si>
    <t>AAG AGC TCC GCA CCG TGT CAG ACG GTmC mUmAmG mAmUmA mUmGmG mAmC</t>
  </si>
  <si>
    <t>A13 w/ Q</t>
  </si>
  <si>
    <t>TCT CCG GCT ATT ACG CAC CGT GTC AGA CGG TCT AG/3IAbRQSp/</t>
  </si>
  <si>
    <t>G13D-nt</t>
  </si>
  <si>
    <t>/5ATTO488N/TGT CCA TAT CTA GAC CGT CTG ACA CGG TGC GTA ATA CGA CTC ACT ATA GGG AGA</t>
  </si>
  <si>
    <t>sG13S1-nt</t>
  </si>
  <si>
    <t>GTT TCC ATT ACT ACC GTC TGA CAC GGT GCG TAA TAC GAC TCA CTA TAG ACA TAC AGA TTA ACC AGA CAG TGA C</t>
  </si>
  <si>
    <t>sA13</t>
  </si>
  <si>
    <t>TCT CCG GCT ATT ACG CAC CGT GTC AGA CGG TAG TA</t>
  </si>
  <si>
    <t>sB13</t>
  </si>
  <si>
    <t>AAG AGC TCC GCA CCG TGT CAG ACG GTA GTA ATG GAA AC</t>
  </si>
  <si>
    <t>DNA sR13</t>
  </si>
  <si>
    <t>TAC TAC CGT CTG ACA CGG TGC GTA ATA GCC GGA GA</t>
  </si>
  <si>
    <t>DNA sC13</t>
  </si>
  <si>
    <t>GTT TCC ATT ACT ACC GTC TGA CAC GGT GCG GAG CTC TT</t>
  </si>
  <si>
    <t>G20S1-nt (w/ 5PSHP)</t>
  </si>
  <si>
    <t>CTT CCT GTA GTT AAT ACG ACT CAC TAT AGG GAG ATT CGT CTC CCG ACA TAC AGA TTA ACC AGA CAG TGA C</t>
  </si>
  <si>
    <t>DNA R20</t>
  </si>
  <si>
    <t>CTT CCT GTA GTT AAT AGC GTT CAG</t>
  </si>
  <si>
    <t>A20</t>
  </si>
  <si>
    <t>CTG AAC GCT ATT AAC TAC AGG AAG</t>
  </si>
  <si>
    <t>AzoR20</t>
  </si>
  <si>
    <t>BAD READING</t>
  </si>
  <si>
    <t>CTXT CXCTX GTXA GXTTX AAXT AXGCX GTXT CXAG</t>
  </si>
  <si>
    <t>Biosynthesis (Corp)</t>
  </si>
  <si>
    <t>A20 (+Q)</t>
  </si>
  <si>
    <t>CTG AAC GCT ATT AAC TAC AGG AAG /3IAbRQSp/</t>
  </si>
  <si>
    <t>G20S1-nt (+F) (w/ 5PSHP)</t>
  </si>
  <si>
    <t>/5Cy3/CTT CCT GTA GTT AAT ACG ACT CAC TAT AGG GAG ATT CGT CTC CCG ACA TAC AGA TTA ACC AGA CAG TGA C</t>
  </si>
  <si>
    <t>G20S1-nt + B7</t>
  </si>
  <si>
    <t>CTT CCT GTA GTT AAT ACG ACT CAC TAT AGG GAG ATT CGT CTC CCG ACA TAC AGA TTA ACC AGA CAG TGA CTT TTT TTT TTT /3Bio/</t>
  </si>
  <si>
    <t>R20-t + B7</t>
  </si>
  <si>
    <t>/5Biosg/AAA AAA AAA AAC TGA ACG CTA TTA ACT ACA GGA AGT TGG GAG ACG AAT CTC CCT ATA GTG AGT CG</t>
  </si>
  <si>
    <t>G20RS5-nt + B7</t>
  </si>
  <si>
    <t>CTT CCT GTA GTT AAT ACG ACT CAC TAT AGG GAG ATT CGT CTC CCA GGG ACG AAT ATT AGA GTT TTT TTT TTT /3Bio/</t>
  </si>
  <si>
    <t>G21S1-nt + B7</t>
  </si>
  <si>
    <t>CAA TCG AAT GGT AAT ACG ACT CAC TAT AGG GAG ATT CGT CTC CCG ACA TAC AGA TTA ACC AGA CAG TGA CTT TTT TTT TTT /3Bio/</t>
  </si>
  <si>
    <t>A21</t>
  </si>
  <si>
    <t>GAC TAG GCT ATT ACC ATT CGA TTG</t>
  </si>
  <si>
    <t>DNA R21</t>
  </si>
  <si>
    <t>CAA TCG AAT GGT AAT AGC CTA GTC</t>
  </si>
  <si>
    <t>G22S1-nt + B7</t>
  </si>
  <si>
    <t>CTC CAA GCA GGT AAT ACG ACT CAC TAT AGG GAG ATT CGT CTC CCG ACA TAC AGA TTA ACC AGA CAG TGA CTT TTT TTT TTT /3Bio/</t>
  </si>
  <si>
    <t>A22</t>
  </si>
  <si>
    <t>CAC TGG CAT ATT ACC TGC TTG GAG</t>
  </si>
  <si>
    <t>DNA R22</t>
  </si>
  <si>
    <t>CTC CAA GCA GGT AAT ATG CCA GTG</t>
  </si>
  <si>
    <t>S1 Reporter F</t>
  </si>
  <si>
    <t>GTC ACT GTC TGG TTA ATC TGT ATG TC/3TYE665/</t>
  </si>
  <si>
    <t>S1 Reporter Q</t>
  </si>
  <si>
    <t>/5IAbRQ/GAC ATA CAG ATT AAC CAG ACA</t>
  </si>
  <si>
    <t>S1-t</t>
  </si>
  <si>
    <t>GTC ACT GTC TGG TTA ATC TGT ATG TCT ATA GTG AGT CG</t>
  </si>
  <si>
    <t>Y1 Reporter F (Blue)</t>
  </si>
  <si>
    <t>ATC CAT CAC TTC ATA CTC TAC /36-FAM/</t>
  </si>
  <si>
    <t>Y1-t</t>
  </si>
  <si>
    <t>ATC CAT CAC TTC ATA CTC TAC TGG GAG ACG AAT CTC CCT ATA GTG AGT CG</t>
  </si>
  <si>
    <t>Y1 Reporter F (Red)</t>
  </si>
  <si>
    <t>ATC CAT CAC TTC ATA CTC TAC /3TYE665/</t>
  </si>
  <si>
    <t>Y1 Reporter Q (Red)</t>
  </si>
  <si>
    <t>/5IAbRQ/GTA GAG TAT GAA GTG A</t>
  </si>
  <si>
    <t>Y1 Reporter 5' Q (Blue)</t>
  </si>
  <si>
    <t>/5IABkFQ/GTA GAG TAT GAA GTG A</t>
  </si>
  <si>
    <t>Y1 Reporter 5' F (Blue)</t>
  </si>
  <si>
    <t>/56-FAM/ATC CAT CAC TTC ATA CTC TAC</t>
  </si>
  <si>
    <t>Y1 Reporter 3' Q (Blue)</t>
  </si>
  <si>
    <t>GTA GAG TAT GAA GTG A/3IABkFQ/</t>
  </si>
  <si>
    <t>DNA Y1</t>
  </si>
  <si>
    <t>GTA GAG TAT GAA GTG ATG GAT</t>
  </si>
  <si>
    <t>DNA S1</t>
  </si>
  <si>
    <t>GAC ATA CAG ATT AAC CAG ACA GTG AC</t>
  </si>
  <si>
    <t>S1 Reporter 5' F</t>
  </si>
  <si>
    <t>/5TYE665/GTC ACT GTC TGG TTA ATC TGT ATG TC</t>
  </si>
  <si>
    <t>S1 Reporter 3' Q</t>
  </si>
  <si>
    <t>GAC ATA CAG ATT AAC CAG ACA /3IAbRQSp/</t>
  </si>
  <si>
    <t>Y1 Reporter 5' F</t>
  </si>
  <si>
    <t>/5Cy3/GTA GAG TAT GAA GTG</t>
  </si>
  <si>
    <t>Y1 Reporter 3' Q</t>
  </si>
  <si>
    <t>ATC CAT CAC TTC ATA CTC TAC/3IABkFQ/</t>
  </si>
  <si>
    <t>mY1 Reporter 5' F</t>
  </si>
  <si>
    <t>/5Cy3/mGmUmA mGmAmG mUmAmU mGmAmA mGmUmG</t>
  </si>
  <si>
    <t>mY1 Reporter 3' Q</t>
  </si>
  <si>
    <t>mAmUmC mCmAmU mCmAmC mUmUmC mAmUmA mCmUmC mUmAmC /3IAbRQSp/</t>
  </si>
  <si>
    <t>Mingzhi's S1 3' Q</t>
  </si>
  <si>
    <t>S1'-t</t>
  </si>
  <si>
    <t>GAC ATA CAG ATT AAC CAG ACA GTG ACG GGA GAC GAA TCT CCC TAT AGT GAG TCG</t>
  </si>
  <si>
    <t>U-S1-nt (w/ 5PSHP)</t>
  </si>
  <si>
    <t>CCT TAA TAC GAC TCA CTA TAG GGA GAT TCG TCT CCC GAC ATA CAG ATT AAC CAG ACA GTG AC</t>
  </si>
  <si>
    <t>U-S1-t (w/ 5PSHP)</t>
  </si>
  <si>
    <t>GTC ACT GTC TGG TTA ATC TGT ATG TCG GGA GAC GAA TCT CCC TAT AGT GAG TCG TAT TAA GG</t>
  </si>
  <si>
    <t>DNA S1'</t>
  </si>
  <si>
    <t>GTC ACT GTC TGG TTA ATC TGT ATG TC</t>
  </si>
  <si>
    <t>S1-t (w/ 5PSHP)</t>
  </si>
  <si>
    <t>GTC ACT GTC TGG TTA ATC TGT ATG TCG GGA GAC GAA TCT CCC TAT AGT GAG TCG</t>
  </si>
  <si>
    <t>(MUTANT) S2_rep_Q</t>
  </si>
  <si>
    <t>CTC ACA AAG TGC ATG CAT CGA CGC /3IAbRQSp/</t>
  </si>
  <si>
    <t>(MUTANT) S2_rep_F</t>
  </si>
  <si>
    <t>/5TEX615/CAA TTT GCG TCG ATG CAT GCA CTT TGT GAG</t>
  </si>
  <si>
    <t>(MUTANT) DNA S2</t>
  </si>
  <si>
    <t>CTC ACA AAG TGC ATG CAT CGA CGC AAA TTG</t>
  </si>
  <si>
    <t>(MUTANT) U-S2-nt</t>
  </si>
  <si>
    <t>CCT TAA TAC GAC TCA CTA TAG GGA GAT TCG TCT CCC ACT CAC AAA GTG CAT GCA TCG ACG CAA ATT G</t>
  </si>
  <si>
    <t>(MUTANT) U-S2-t</t>
  </si>
  <si>
    <t>CAA TTT GCG TCG ATG CAT GCA CTT TGT GAG TGG GAG ACG AAT CTC CCT ATA GTG AGT CGT ATT AAG G</t>
  </si>
  <si>
    <t>S2_rep_Q</t>
  </si>
  <si>
    <t>CTC ACA AAG TGC ATG CAT CGA CGG /3IAbRQSp/</t>
  </si>
  <si>
    <t>S2_rep_F</t>
  </si>
  <si>
    <t>/5TEX615/CAA TTT CCG TCG ATG CAT GCA CTT TGT GAG</t>
  </si>
  <si>
    <t>DNA S2</t>
  </si>
  <si>
    <t>CTC ACA AAG TGC ATG CAT CGA CGG AAA TTG</t>
  </si>
  <si>
    <t>U-S2-nt</t>
  </si>
  <si>
    <t>CCT TAA TAC GAC TCA CTA TAG GGA GAT TCG TCT CCC ACT CAC AAA GTG CAT GCA TCG ACG GAA ATT G</t>
  </si>
  <si>
    <t>U-S2-t</t>
  </si>
  <si>
    <t>CAA TTT CCG TCG ATG CAT GCA CTT TGT GAG TGG GAG ACG AAT CTC CCT ATA GTG AGT CGT ATT AAG G</t>
  </si>
  <si>
    <t>RNA S1</t>
  </si>
  <si>
    <t>rGrArC rArUrA rCrArG rArUrU rArArC rCrArG rArCrA rGrUrG rArC</t>
  </si>
  <si>
    <t>RNA S2</t>
  </si>
  <si>
    <t>rCrUrC rArCrA rArArG rUrGrC rArUrG rCrArU rCrGrA rCrGrG rArArA rUrUrG</t>
  </si>
  <si>
    <t>U-S1-nt + Term</t>
  </si>
  <si>
    <t>CCT TAA TAC GAC TCA CTA TAG GGA GAT TCG TCT CCC GAC ATA CAG ATT AAC CAG ACA GTG ACA TCT GTT AGT TTT TTT G</t>
  </si>
  <si>
    <t xml:space="preserve"> HPLC</t>
  </si>
  <si>
    <t>U-S1-t + Term</t>
  </si>
  <si>
    <t>CAA AAA AAC TAA CAG ATG TCA CTG TCT GGT TAA TCT GTA TGT CGG GAG ACG AAT CTC CCT ATA GTG AGT CGT ATT AAG G</t>
  </si>
  <si>
    <t>U-S2-nt + Term</t>
  </si>
  <si>
    <t>CCT TAA TAC GAC TCA CTA TAG GGA GAT TCG TCT CCC ACT CAC AAA GTG CAT GCA TCG ACG GAA ATT GAT CTG TTA GTT TTT TTG</t>
  </si>
  <si>
    <t>U-S2-t + Term</t>
  </si>
  <si>
    <t>CAA AAA AAC TAA CAG ATC AAT TTC CGT CGA TGC ATG CAC TTT GTG AGT GGG AGA CGA ATC TCC CTA TAG TGA GTC GTA TTA AGG</t>
  </si>
  <si>
    <t>U-S1-nt + T C. I</t>
  </si>
  <si>
    <t>CCT TAA TAC GAC TCA CTA TAG GGA GAT TCG TCT CCC GAC ATA CAG ATT AAC CAG ACA GTG ACA AAA GAT AGG CCG CTT CGG CGG CCT ATC TGT TTT TTT T</t>
  </si>
  <si>
    <t>U-S1-t + T C. I</t>
  </si>
  <si>
    <t>AAA AAA AAC AGA TAG GCC GCC GAA GCG GCC TAT CTT TTG TCA CTG TCT GGT TAA TCT GTA TGT CGG GAG ACG AAT CTC CCT ATA GTG AGT CGT ATT AAG G</t>
  </si>
  <si>
    <t>New U-S2-nt</t>
  </si>
  <si>
    <t>CCT TAA TAC GAC TCA CTA TAG GGA GAT TCG TCT CCC ACT CAA GTA GAC CAT CGA CGG AAA TTG</t>
  </si>
  <si>
    <t>New U-S2-t</t>
  </si>
  <si>
    <t>CAA TTT CCG TCG ATG GTC TAC TTG AGT GGG AGA CGA ATC TCC CTA TAG TGA GTC GTA TTA AGG</t>
  </si>
  <si>
    <t>New S2_rep_Q</t>
  </si>
  <si>
    <t>CTC AAG TAG ACC ATC GAC GG/3IAbRQSp/</t>
  </si>
  <si>
    <t>New S2_rep_F</t>
  </si>
  <si>
    <t>/5TEX615/CAA TTT CCG TCG ATG GTC TAC TTG AG</t>
  </si>
  <si>
    <t>New DNA S2</t>
  </si>
  <si>
    <t>CTC AAG TAG ACC ATC GAC GGA AAT TG</t>
  </si>
  <si>
    <t>5FAM U-S1-nt</t>
  </si>
  <si>
    <t>/56-FAM/CCT TAA TAC GAC TCA CTA TAG GGA GAT TCG TCT CCC GAC ATA CAG ATT AAC CAG ACA GTG AC</t>
  </si>
  <si>
    <t>5FAM U-S1-t</t>
  </si>
  <si>
    <t>/56-FAM/TGT CAC TGT CTG GTT AAT CTG TAT GTC GGG AGA CGA ATC TCC CTA TAG TGA GTC GTA TTA AGG</t>
  </si>
  <si>
    <t>U-S1-nt + TC.1 + B7</t>
  </si>
  <si>
    <t>CCT TAA TAC GAC TCA CTA TAG GGA GAT TCG TCT CCC GAC ATA CAG ATT AAC CAG ACA GTG ACA AAA GAT AGG CCG CTT CGG CGG CCT ATC TGT TTT TTT T/3Bio/</t>
  </si>
  <si>
    <t>U-S1-t + TC.1 + B7</t>
  </si>
  <si>
    <t>/5Biosg/AAA AAA AAC AGA TAG GCC GCC GAA GCG GCC TAT CTT TTG TCA CTG TCT GGT TAA TCT GTA TGT CGG GAG ACG AAT CTC CCT ATA GTG AGT CGT ATT AAG G</t>
  </si>
  <si>
    <t>U-S1-nt + B7</t>
  </si>
  <si>
    <t>CCT TAA TAC GAC TCA CTA TAG GGA GAT TCG TCT CCC GAC ATA CAG ATT AAC CAG ACA GTG ACT TTT TTT TTT TT/3Bio/</t>
  </si>
  <si>
    <t>U-S1-t + B7</t>
  </si>
  <si>
    <t>/5Biosg/AAA AAA AAA AAA GTC ACT GTC TGG TTA ATC TGT ATG TCG GGA GAC GAA TCT CCC TAT AGT GAG TCG TAT TAA GG</t>
  </si>
  <si>
    <t>U-S1-nt-intB7c</t>
  </si>
  <si>
    <t>CCT TAA TAC GAC TCA CTA TAG GGA GAT TCG TCT CCC GAC ATA CAG ATT AAC CAG ACA GTG ACT TTT TTT TTT TAA GTA CCG TCT AAA GG</t>
  </si>
  <si>
    <t>U-S1-t + intB7</t>
  </si>
  <si>
    <t>CCT TTA GAC GGT ACT /iBiodT/AA AAA AAA AAA GTC ACT GTC TGG TTA ATC TGT ATG TCG GGA GAC GAA TCT CCC TAT AGT GAG TCG TAT TAA GG</t>
  </si>
  <si>
    <t>S1 Reporter long (no F)</t>
  </si>
  <si>
    <t>S1 Reporter short (no Q)</t>
  </si>
  <si>
    <t>GAC ATA CAG ATT AAC CAG ACA</t>
  </si>
  <si>
    <t>S1-t + B7 (w/ 5PSHP)</t>
  </si>
  <si>
    <t>/5Biosg/AAA AAA AAA AAG TCA CTG TCT GGT TAA TCT GTA TGT CGG GAG ACG AAT CTC CCT ATA GTG AGT CG</t>
  </si>
  <si>
    <t>Rep2b-F</t>
  </si>
  <si>
    <t>/5Cy3/CTA CAT CCA CAT AC</t>
  </si>
  <si>
    <t>Rep2b-Q</t>
  </si>
  <si>
    <t>GTT AAT TAG TAT GTG GAT GTA G/3IAbRQSp/</t>
  </si>
  <si>
    <t>DNA Rep2b</t>
  </si>
  <si>
    <t>CTA CAT CCA CAT ACT AAT TAA C</t>
  </si>
  <si>
    <t>U-Rep2b-nt + B7</t>
  </si>
  <si>
    <t>CCT TAA TAC GAC TCA CTA TAG GGA GAT TCG TCT CCC ACT ACA TCC ACA TAC TAA TTA ACT TTT TTT TTT TT/3Bio/</t>
  </si>
  <si>
    <t>U-Rep2b-t + B7</t>
  </si>
  <si>
    <t>/5Biosg/AAA AAA AAA AAA GTT AAT TAG TAT GTG GAT GTA GTG GGA GAC GAA TCT CCC TAT AGT GAG TCG TAT TAA GG</t>
  </si>
  <si>
    <t>U-Rep2b-nt</t>
  </si>
  <si>
    <t>CCT TAA TAC GAC TCA CTA TAG GGA GAT TCG TCT CCC ACT ACA TCC ACA TAC TAA TTA AC</t>
  </si>
  <si>
    <t>U-Rep2b-t</t>
  </si>
  <si>
    <t>GTT AAT TAG TAT GTG GAT GTA GTG GGA GAC GAA TCT CCC TAT AGT GAG TCG TAT TAA GG</t>
  </si>
  <si>
    <t>Rep1a-F</t>
  </si>
  <si>
    <t>/5ATTO488N/CTA CTT TCA CTT CAC AA</t>
  </si>
  <si>
    <t>Rep1a-Q</t>
  </si>
  <si>
    <t>TGA TGT TGT GAA GTG AAA GTA G/3IAbRQSp/</t>
  </si>
  <si>
    <t>DNA Rep1a</t>
  </si>
  <si>
    <t>CTA CTT TCA CTT CAC AAC ATC A</t>
  </si>
  <si>
    <t>U-Rep1a-nt + B7</t>
  </si>
  <si>
    <t>CCT TAA TAC GAC TCA CTA TAG GGA GAT TCG TCT CCC ACT ACT TTC ACT TCA CAA CAT CAT TTT TTT TTT TT/3Bio/</t>
  </si>
  <si>
    <t>U-Rep1a-t + B7</t>
  </si>
  <si>
    <t>/5Biosg/AAA AAA AAA AAA TGA TGT TGT GAA GTG AAA GTA GTG GGA GAC GAA TCT CCC TAT AGT GAG TCG TAT TAA GG</t>
  </si>
  <si>
    <t>U-Rep1a-nt</t>
  </si>
  <si>
    <t>CCT TAA TAC GAC TCA CTA TAG GGA GAT TCG TCT CCC ACT ACT TTC ACT TCA CAA CAT CA</t>
  </si>
  <si>
    <t>U-Rep1a-t</t>
  </si>
  <si>
    <t>TGA TGT TGT GAA GTG AAA GTA GTG GGA GAC GAA TCT CCC TAT AGT GAG TCG TAT TAA GG</t>
  </si>
  <si>
    <t>CR1TH</t>
  </si>
  <si>
    <t>TCC TAG CGC ACC AAT CCA GTC ACT GTC TGG TTA ATC TGT ATG TC</t>
  </si>
  <si>
    <t>CR1 Comp</t>
  </si>
  <si>
    <t>GAC ATA CAG ATT AAC CAG ACA CGC ACT GGA TTG GTG CG</t>
  </si>
  <si>
    <t>CR1TH + Q</t>
  </si>
  <si>
    <t>TCC TAG CGC ACC AAT CCA GTC ACT GTC TGG TTA ATC TGT ATG TC/3IAbRQSp/</t>
  </si>
  <si>
    <t>CR1 Comp + F</t>
  </si>
  <si>
    <t>/5TYE665/GAC ATA CAG ATT AAC CAG ACA CGC ACT GGA TTG GTG CG</t>
  </si>
  <si>
    <t>DNA I1</t>
  </si>
  <si>
    <t>TGG ATT GGT GCG CTA GGA</t>
  </si>
  <si>
    <t>HP Rep</t>
  </si>
  <si>
    <t>/5IAbRQ/GTT AAT TAG TAT GTG GTC ATA CTA /3ATTO488N/</t>
  </si>
  <si>
    <t>(BAD) U-HP Rep-nt w/ B7</t>
  </si>
  <si>
    <t>GAA TAG AAC AGA GGG TTA GCA GAA CCC AGA TAA TAC GAC TCA CTA TAG GGA GAT TCG TCT CCC ACA ATT AAT CAT ACA CCA GTA TGA TTT TTT TTT TTT /3Bio/</t>
  </si>
  <si>
    <t>(BAD) U-HP Rep-t w/ B7</t>
  </si>
  <si>
    <t>/5Biosg/AAA AAA AAA AAA TCA TAC TGG TGT ATG ATT AAT TGT GGG AGA CGA ATC TCC CTA TAG TGA GTC G</t>
  </si>
  <si>
    <t>S1 Reporter 3' Q rev</t>
  </si>
  <si>
    <t>GTC ACT GTC TGG TTA ATC TGT ATG TC/3IAbRQSp/</t>
  </si>
  <si>
    <t>S1 Reporter 5' F rev</t>
  </si>
  <si>
    <t>/5TYE665/GAC ATA CAG ATT AAC CAG ACA</t>
  </si>
  <si>
    <t>S1-MBT-HP5</t>
  </si>
  <si>
    <t>CTC ACA AAG TGC ATG GTC CCA AGT CAC TGT CTG GTT AAT CTG TAT GTC AAG GGA CCA TCG ACG CAA ATT G</t>
  </si>
  <si>
    <t>S1-MBT-HP6</t>
  </si>
  <si>
    <t>CTC ACA AAG TGC ATG GTC CAC AAG TCA CTG TCT GGT TAA TCT GTA TGT CAA GTG GAC CAT CGA CGC AAA TTG</t>
  </si>
  <si>
    <t>S1-MBT-HP7</t>
  </si>
  <si>
    <t>CTC ACA AAG TGC ATG GTC CAG CAA GTC ACT GTC TGG TTA ATC TGT ATG TCA AGC TGG ACC ATC GAC GCA AAT TG</t>
  </si>
  <si>
    <t>S1-MBT-HP8</t>
  </si>
  <si>
    <t>CTC ACA AAG TGC ATG GTC CAG TCA AGT CAC TGT CTG GTT AAT CTG TAT GTC AAG ACT GGA CCA TCG ACG CAA ATT G</t>
  </si>
  <si>
    <t>S1-MBT-HP6 HPLC</t>
  </si>
  <si>
    <t>S1-MBT-HP7 HPLC</t>
  </si>
  <si>
    <t>S1-MBT-HP8 HPLC</t>
  </si>
  <si>
    <t>Dummy-t</t>
  </si>
  <si>
    <t>TCT CCC TAT AGT GAG TCG</t>
  </si>
  <si>
    <t>UT-nt</t>
  </si>
  <si>
    <t>TTC TAA TAC GAC TCA CTA TAG GGA GA</t>
  </si>
  <si>
    <t>UT-t</t>
  </si>
  <si>
    <t>TCT CCC TAT AGT GAG TCG TAT TAG AA</t>
  </si>
  <si>
    <t>hpUT-nt</t>
  </si>
  <si>
    <t>TTC TAA TAC GAC TCA CTA TAG GGA GAT TCG TCT CCC</t>
  </si>
  <si>
    <t>hpUT-t</t>
  </si>
  <si>
    <t>GGG AGA CGA ATC TCC CTA TAG TGA GTC GTA TTA GAA</t>
  </si>
  <si>
    <t>Unglue Spike</t>
  </si>
  <si>
    <t>CAT GCA CTT TGT GAG CTA GGA</t>
  </si>
  <si>
    <t>Glue Rep F</t>
  </si>
  <si>
    <t>/5TYE665/CAT GCA CTT TGT GAG</t>
  </si>
  <si>
    <t>Glue Rep Q</t>
  </si>
  <si>
    <t>CAA TTT GCG TCG ATG /3IAbRQSp/</t>
  </si>
  <si>
    <t>Glue No 3'TH</t>
  </si>
  <si>
    <t>TCC TAG CTC ACA AAG TGC ATG CAT CGA CGC AAA TTG</t>
  </si>
  <si>
    <t>Glue No 3'5'TH</t>
  </si>
  <si>
    <t>GC-Glue</t>
  </si>
  <si>
    <t>TCC TAG CTC ACA AAG TGC ATG CAT CGA CGC AAA TTG CCG GCG</t>
  </si>
  <si>
    <t>GA-Glue</t>
  </si>
  <si>
    <t>TCC TAG CTC ACA AAG TGC ATG CAT CGA CGC AAA TTG AAG GAG</t>
  </si>
  <si>
    <t>TC-Glue</t>
  </si>
  <si>
    <t>TCC TAG CTC ACA AAG TGC ATG CAT CGA CGC AAA TTG CCT TCT</t>
  </si>
  <si>
    <t>GT-Glue</t>
  </si>
  <si>
    <t>TCC TAG CTC ACA AAG TGC ATG CAT CGA CGC AAA TTG TTG GTG</t>
  </si>
  <si>
    <t>AT-Glue</t>
  </si>
  <si>
    <t>TCC TAG CTC ACA AAG TGC ATG CAT CGA CGC AAA TTG TTA ATA</t>
  </si>
  <si>
    <t>CA-Glue</t>
  </si>
  <si>
    <t>TCC TAG CTC ACA AAG TGC ATG CAT CGA CGC AAA TTG AAC CAC</t>
  </si>
  <si>
    <t>5L-Glue</t>
  </si>
  <si>
    <t>TCC TAG CTC ACA AAG TGC ATG CAT CGA CGC AAA TTG CGA CTA GGT GTC G</t>
  </si>
  <si>
    <t>7L-Glue</t>
  </si>
  <si>
    <t>TCC TAG CTC ACA AAG TGC ATG CAT CGA CGC AAA TTG CGA CTA GGA ATG TCG</t>
  </si>
  <si>
    <t>9L-Glue</t>
  </si>
  <si>
    <t>TCC TAG CTC ACA AAG TGC ATG CAT CGA CGC AAA TTG CGA CTA GGA AGA TGT CG</t>
  </si>
  <si>
    <t>11L-Glue</t>
  </si>
  <si>
    <t>TCC TAG CTC ACA AAG TGC ATG CAT CGA CGC AAA TTG CGA CTA GGA AGA ATT GTC G</t>
  </si>
  <si>
    <t>13L-Glue</t>
  </si>
  <si>
    <t>TCC TAG CTC ACA AAG TGC ATG CAT CGA CGC AAA TTG CGA CTA GGA AGA ATG ATG TCG</t>
  </si>
  <si>
    <t>3A-Glue</t>
  </si>
  <si>
    <t>TCC TAG CTC ACA AAG TGC ATG CAT CGA CGC AAA TTG AAA</t>
  </si>
  <si>
    <t>3C-Glue</t>
  </si>
  <si>
    <t>TCC TAG CTC ACA AAG TGC ATG CAT CGA CGC AAA TTG CCC</t>
  </si>
  <si>
    <t>3T-Glue</t>
  </si>
  <si>
    <t>TCC TAG CTC ACA AAG TGC ATG CAT CGA CGC AAA TTG TTT</t>
  </si>
  <si>
    <t>CC+AG-Glue</t>
  </si>
  <si>
    <t>TCC TAG CTC ACA AAG TGC ATG CAT CGA CGC AAA TTG CCA AGG AG</t>
  </si>
  <si>
    <t>C+AG-Glue</t>
  </si>
  <si>
    <t>TCC TAG CTC ACA AAG TGC ATG CAT CGA CGC AAA TTG CAA GGA G</t>
  </si>
  <si>
    <t>TT+AG-Glue</t>
  </si>
  <si>
    <t>TCC TAG CTC ACA AAG TGC ATG CAT CGA CGC AAA TTG TTA AGG AG</t>
  </si>
  <si>
    <t>T+AG-Glue</t>
  </si>
  <si>
    <t>TCC TAG CTC ACA AAG TGC ATG CAT CGA CGC AAA TTG TAA GGA G</t>
  </si>
  <si>
    <t>A+AG-Glue</t>
  </si>
  <si>
    <t>TCC TAG CTC ACA AAG TGC ATG CAT CGA CGC AAA TTG AAA GGA G</t>
  </si>
  <si>
    <t>1C1A+Glue</t>
  </si>
  <si>
    <t>TCC TAG CTC ACA AAG TGC ATG CAT CGA CGC AAA TTG CA</t>
  </si>
  <si>
    <t>CAA+Glue</t>
  </si>
  <si>
    <t>TCC TAG CTC ACA AAG TGC ATG CAT CGA CGC AAA TTG CAA</t>
  </si>
  <si>
    <t>CAAA+Glue</t>
  </si>
  <si>
    <t>TCC TAG CTC ACA AAG TGC ATG CAT CGA CGC AAA TTG CAA A</t>
  </si>
  <si>
    <t>CAAAA+Glue</t>
  </si>
  <si>
    <t>TCC TAG CTC ACA AAG TGC ATG CAT CGA CGC AAA TTG CAA AA</t>
  </si>
  <si>
    <t>ACAAA+Glue</t>
  </si>
  <si>
    <t>TCC TAG CTC ACA AAG TGC ATG CAT CGA CGC AAA TTG ACA AA</t>
  </si>
  <si>
    <t>AACAA+Glue</t>
  </si>
  <si>
    <t>TCC TAG CTC ACA AAG TGC ATG CAT CGA CGC AAA TTG AAC AA</t>
  </si>
  <si>
    <t>AAACA+Glue</t>
  </si>
  <si>
    <t>TCC TAG CTC ACA AAG TGC ATG CAT CGA CGC AAA TTG AAA CA</t>
  </si>
  <si>
    <t>AAAAC+Glue</t>
  </si>
  <si>
    <t>TCC TAG CTC ACA AAG TGC ATG CAT CGA CGC AAA TTG AAA AC</t>
  </si>
  <si>
    <t>5A-Glue</t>
  </si>
  <si>
    <t>TCC TAG CTC ACA AAG TGC ATG CAT CGA CGC AAA TTG AAA AA</t>
  </si>
  <si>
    <t>5L-Unglue</t>
  </si>
  <si>
    <t>CGA CAC CTA GTC GCA ATT TGC GTC GAT GCA TGC ACT TTG TGA G</t>
  </si>
  <si>
    <t>7L-Unglue</t>
  </si>
  <si>
    <t>CGA CAT TCC TAG TCG CAA TTT GCG TCG ATG CAT GCA CTT TGT GAG</t>
  </si>
  <si>
    <t>9L-Unglue</t>
  </si>
  <si>
    <t>CGA CAT CTT CCT AGT CGC AAT TTG CGT CGA TGC ATG CAC TTT GTG AG</t>
  </si>
  <si>
    <t>11L-Unglue</t>
  </si>
  <si>
    <t>CGA CAA TTC TTC CTA GTC GCA ATT TGC GTC GAT GCA TGC ACT TTG TGA G</t>
  </si>
  <si>
    <t>13L-Unglue</t>
  </si>
  <si>
    <t>CGA CAT CAT TCT TCC TAG TCG CAA TTT GCG TCG ATG CAT GCA CTT TGT GAG</t>
  </si>
  <si>
    <t>AA+AG-Glue</t>
  </si>
  <si>
    <t>TCC TAG CTC ACA AAG TGC ATG CAT CGA CGC AAA TTG AAA AGG AG</t>
  </si>
  <si>
    <t>Open 7L-Glue</t>
  </si>
  <si>
    <t>TCC TAG CTC ACA AAG TGC ATG CAT CGA CGC AAA TTG CGA CTA GGA AT</t>
  </si>
  <si>
    <t>Open 11L-Glue</t>
  </si>
  <si>
    <t>TCC TAG CTC ACA AAG TGC ATG CAT CGA CGC AAA TTG CGA CTA GGA AGA ATT</t>
  </si>
  <si>
    <t>15L-Glue</t>
  </si>
  <si>
    <t>TCC TAG CTC ACA AAG TGC ATG CAT CGA CGC AAA TTG CGA CTA GGA AGA AGA TGA TGT CG</t>
  </si>
  <si>
    <t>15L-Unglue</t>
  </si>
  <si>
    <t>CGA CAT CAT CTT CTT CCT AGT CGC AAT TTG CGT CGA TGC ATG CAC TTT GTG AG</t>
  </si>
  <si>
    <t>17L-Glue</t>
  </si>
  <si>
    <t>TCC TAG CTC ACA AAG TGC ATG CAT CGA CGC AAA TTG CGA CTA GGA AGA ATG AAT GAT GTC G</t>
  </si>
  <si>
    <t>17L-Unglue</t>
  </si>
  <si>
    <t>CGA CAT CAT TCA TTC TTC CTA GTC GCA ATT TGC GTC GAT GCA TGC ACT TTG TGA G</t>
  </si>
  <si>
    <t>19L-Glue</t>
  </si>
  <si>
    <t>TCC TAG CTC ACA AAG TGC ATG CAT CGA CGC AAA TTG CGA CTA GGA AGA ATG AAT GAG ATG TCG</t>
  </si>
  <si>
    <t>19L-Unglue</t>
  </si>
  <si>
    <t>CGA CAT CTC ATT CAT TCT TCC TAG TCG CAA TTT GCG TCG ATG CAT GCA CTT TGT GAG</t>
  </si>
  <si>
    <t>21L-Glue</t>
  </si>
  <si>
    <t>TCC TAG CTC ACA AAG TGC ATG CAT CGA CGC AAA TTG CGA CTA GGA AGA ATG AAT GAA TGA TGT CG</t>
  </si>
  <si>
    <t>21L-Unglue</t>
  </si>
  <si>
    <t>CGA CAT CAT TCA TTC ATT CTT CCT AGT CGC AAT TTG CGT CGA TGC ATG CAC TTT GTG AG</t>
  </si>
  <si>
    <t>21L-5S-Glue</t>
  </si>
  <si>
    <t>TCC TAG CTC ACA AAG TGC ATG CAT CGA CGC AAA TTG CCG ACT AGG AAG AAT GAA TGA ATG ATG TCG G</t>
  </si>
  <si>
    <t>21L-5S-Unglue</t>
  </si>
  <si>
    <t>CCG ACA TCA TTC ATT CAT TCT TCC TAG TCG GCA ATT TGC GTC GAT GCA TGC ACT TTG TGA G</t>
  </si>
  <si>
    <t>23L-Glue</t>
  </si>
  <si>
    <t>TCC TAG CTC ACA AAG TGC ATG CAT CGA CGC AAA TTG CGA CTA GGA AGA ATG AAT GAA TGA GAT GTC G</t>
  </si>
  <si>
    <t>23L-Unglue</t>
  </si>
  <si>
    <t>CGA CAT CTC ATT CAT TCA TTC TTC CTA GTC GCA ATT TGC GTC GAT GCA TGC ACT TTG TGA G</t>
  </si>
  <si>
    <t>23L-5S-Glue</t>
  </si>
  <si>
    <t>TCC TAG CTC ACA AAG TGC ATG CAT CGA CGC AAA TTG CCG ACT AGG AAG AAT GAA TGA ATG AGA TGT CGG</t>
  </si>
  <si>
    <t>23L-5S-Unglue</t>
  </si>
  <si>
    <t>CCG ACA TCT CAT TCA TTC ATT CTT CCT AGT CGG CAA TTT GCG TCG ATG CAT GCA CTT TGT GAG</t>
  </si>
  <si>
    <t>25L-Glue</t>
  </si>
  <si>
    <t>TCC TAG CTC ACA AAG TGC ATG CAT CGA CGC AAA TTG CGA CTA GGA AGA ATG AAT GAA TGA ATG ATG TCG</t>
  </si>
  <si>
    <t>25L-Unglue</t>
  </si>
  <si>
    <t>CGA CAT CAT TCA TTC ATT CAT TCT TCC TAG TCG CAA TTT GCG TCG ATG CAT GCA CTT TGT GAG</t>
  </si>
  <si>
    <t>25L-5S-Glue</t>
  </si>
  <si>
    <t>TCC TAG CTC ACA AAG TGC ATG CAT CGA CGC AAA TTG CCG ACT AGG AAG AAT GAA TGA ATG AAT GAT GTC GG</t>
  </si>
  <si>
    <t>25L-5S-Unglue</t>
  </si>
  <si>
    <t>CCG ACA TCA TTC ATT CAT TCA TTC TTC CTA GTC GGC AAT TTG CGT CGA TGC ATG CAC TTT GTG AG</t>
  </si>
  <si>
    <t>Open 17L-Glue</t>
  </si>
  <si>
    <t>TCC TAG CTC ACA AAG TGC ATG CAT CGA CGC AAA TTG CGA CTA GGA AGA ATG AAT GAT</t>
  </si>
  <si>
    <t>Open 25L-Glue</t>
  </si>
  <si>
    <t>TCC TAG CTC ACA AAG TGC ATG CAT CGA CGC AAA TTG CGA CTA GGA AGA ATG AAT GAA TGA ATG AT</t>
  </si>
  <si>
    <t>5L-C-Glue</t>
  </si>
  <si>
    <t>TCC TAG CTC ACA AAG TGC ATG CAT CGA CGC AAA TTG CGA CTA CCT GTC G</t>
  </si>
  <si>
    <t>7L-C-Glue</t>
  </si>
  <si>
    <t>TCC TAG CTC ACA AAG TGC ATG CAT CGA CGC AAA TTG CGA CTA CCA ATG TCG</t>
  </si>
  <si>
    <t>9L-C-Glue</t>
  </si>
  <si>
    <t>TCC TAG CTC ACA AAG TGC ATG CAT CGA CGC AAA TTG CGA CTA CCA ACA TGT CG</t>
  </si>
  <si>
    <t>11L-C-Glue</t>
  </si>
  <si>
    <t>TCC TAG CTC ACA AAG TGC ATG CAT CGA CGC AAA TTG CGA CTA CCA ACA ATT GTC G</t>
  </si>
  <si>
    <t>13L-C-Glue</t>
  </si>
  <si>
    <t>TCC TAG CTC ACA AAG TGC ATG CAT CGA CGC AAA TTG CGA CTA CCA ACA ATC ATG TCG</t>
  </si>
  <si>
    <t>1C+Glue</t>
  </si>
  <si>
    <t>TCC TAG CTC ACA AAG TGC ATG CAT CGA CGC AAA TTG C</t>
  </si>
  <si>
    <t>AC+Glue</t>
  </si>
  <si>
    <t>TCC TAG CTC ACA AAG TGC ATG CAT CGA CGC AAA TTG AC</t>
  </si>
  <si>
    <t>AAC+Glue</t>
  </si>
  <si>
    <t>TCC TAG CTC ACA AAG TGC ATG CAT CGA CGC AAA TTG AAC</t>
  </si>
  <si>
    <t>AAAC+Glue</t>
  </si>
  <si>
    <t>TCC TAG CTC ACA AAG TGC ATG CAT CGA CGC AAA TTG AAA C</t>
  </si>
  <si>
    <t>Organization</t>
  </si>
  <si>
    <t>Each sheet on this repository has strands related to the given OCE (orthogonal circuit element). This means A1, C1, and genelets whose input domain is G1 will be under "G1 Strands."</t>
  </si>
  <si>
    <t>NAMING CONVENTIONS</t>
  </si>
  <si>
    <t>Because of realizations made during testing, conventions may change in naming schemes. However, unless it would cause a direction contradiction, naming conventions typically become more explicit so as to not invalidate old ones.</t>
  </si>
  <si>
    <t>If a Fluorophore or Quencher's end position (5' or 3') is not explicitly mentioned, assume 5' F with 3' Q for genelets/activators, and 3' F with 5' Q for downstream reporter strands.</t>
  </si>
  <si>
    <t>If a Quencher's type is not explicitly mentioned, assume RQ (red quencher).</t>
  </si>
  <si>
    <t>If an Activator's name does not mention a Quencher or lack thereof, assume a Quencher is present (RQ on the 3' end, as mentioned above).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</si>
</sst>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3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1" applyNumberFormat="0" applyFont="1" applyFill="1" applyBorder="1" applyAlignment="1" applyProtection="0">
      <alignment vertical="center"/>
    </xf>
    <xf numFmtId="49" fontId="3" fillId="2" borderId="1" applyNumberFormat="1" applyFont="1" applyFill="1" applyBorder="1" applyAlignment="1" applyProtection="0">
      <alignment horizontal="center" vertical="bottom"/>
    </xf>
    <xf numFmtId="49" fontId="3" fillId="2" borderId="1" applyNumberFormat="1" applyFont="1" applyFill="1" applyBorder="1" applyAlignment="1" applyProtection="0">
      <alignment horizontal="center" vertical="center"/>
    </xf>
    <xf numFmtId="0" fontId="3" fillId="2" borderId="1" applyNumberFormat="0" applyFont="1" applyFill="1" applyBorder="1" applyAlignment="1" applyProtection="0">
      <alignment horizontal="center" vertical="bottom"/>
    </xf>
    <xf numFmtId="49"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wrapText="1"/>
    </xf>
    <xf numFmtId="0" fontId="0" fillId="2" borderId="1" applyNumberFormat="1" applyFont="1" applyFill="1" applyBorder="1" applyAlignment="1" applyProtection="0">
      <alignment vertical="center"/>
    </xf>
    <xf numFmtId="14"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17"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borderId="1" applyNumberFormat="1" applyFont="1" applyFill="0" applyBorder="1" applyAlignment="1" applyProtection="0">
      <alignment vertical="bottom"/>
    </xf>
    <xf numFmtId="49"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s>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1"/>
  <sheetViews>
    <sheetView workbookViewId="0" showGridLines="0" defaultGridColor="1"/>
  </sheetViews>
  <sheetFormatPr defaultColWidth="20.6667" defaultRowHeight="15" customHeight="1" outlineLevelRow="0" outlineLevelCol="0"/>
  <cols>
    <col min="1" max="1" width="24.5" style="1" customWidth="1"/>
    <col min="2" max="3" width="20.6719" style="1" customWidth="1"/>
    <col min="4" max="4" width="16.6719" style="1" customWidth="1"/>
    <col min="5" max="5" width="148" style="1" customWidth="1"/>
    <col min="6" max="10" width="20.6719" style="1" customWidth="1"/>
    <col min="11" max="16384" width="20.6719" style="1"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9</v>
      </c>
      <c r="B3" s="8" cm="1">
        <f t="array" ref="B3">AVERAGE(69.733,70.163)</f>
        <v>69.94799999999999</v>
      </c>
      <c r="C3" s="8" cm="1">
        <f t="array" ref="C3">B3/G3*1000000</f>
        <v>86.9135188866799</v>
      </c>
      <c r="D3" t="str" s="2" cm="1">
        <f t="array" ref="D3">IF(ISERROR(FIND("/",E3)),"No","Yes")</f>
        <v>No</v>
      </c>
      <c r="E3" t="s" s="7">
        <v>11</v>
      </c>
      <c r="F3" t="s" s="9">
        <v>12</v>
      </c>
      <c r="G3" s="10">
        <v>804800</v>
      </c>
      <c r="H3" t="s" s="7">
        <v>10</v>
      </c>
      <c r="I3" s="11">
        <v>45364</v>
      </c>
      <c r="J3" s="2"/>
    </row>
    <row r="4" ht="15" customHeight="1">
      <c r="A4" t="s" s="7">
        <v>13</v>
      </c>
      <c r="B4" s="8" cm="1">
        <f t="array" ref="B4">AVERAGE(23.702,24.312)</f>
        <v>24.007</v>
      </c>
      <c r="C4" s="8" cm="1">
        <f t="array" ref="C4">B4/G4*1000000</f>
        <v>98.8349114862083</v>
      </c>
      <c r="D4" t="str" s="2" cm="1">
        <f t="array" ref="D4">IF(ISERROR(FIND("/",E4)),"No","Yes")</f>
        <v>No</v>
      </c>
      <c r="E4" t="s" s="7">
        <v>14</v>
      </c>
      <c r="F4" t="s" s="7">
        <v>12</v>
      </c>
      <c r="G4" s="10">
        <v>242900</v>
      </c>
      <c r="H4" t="s" s="7">
        <v>10</v>
      </c>
      <c r="I4" s="11">
        <v>45364</v>
      </c>
      <c r="J4" s="2"/>
    </row>
    <row r="5" ht="13.55" customHeight="1">
      <c r="A5" t="s" s="7">
        <v>15</v>
      </c>
      <c r="B5" s="2"/>
      <c r="C5" s="8" cm="1">
        <f t="array" ref="C5">B5/G5*1000000</f>
        <v>0</v>
      </c>
      <c r="D5" t="str" s="2" cm="1">
        <f t="array" ref="D5">IF(ISERROR(FIND("/",E5)),"No","Yes")</f>
        <v>Yes</v>
      </c>
      <c r="E5" t="s" s="7">
        <v>17</v>
      </c>
      <c r="F5" t="s" s="7">
        <v>12</v>
      </c>
      <c r="G5" s="10">
        <v>815500</v>
      </c>
      <c r="H5" t="s" s="7">
        <v>10</v>
      </c>
      <c r="I5" s="2"/>
      <c r="J5" s="2"/>
    </row>
    <row r="6" ht="13.55" customHeight="1">
      <c r="A6" s="2"/>
      <c r="B6" s="2"/>
      <c r="C6" s="2"/>
      <c r="D6" s="2"/>
      <c r="E6" s="2"/>
      <c r="F6" s="2"/>
      <c r="G6" s="3"/>
      <c r="H6" s="2"/>
      <c r="I6" s="2"/>
      <c r="J6" s="2"/>
    </row>
    <row r="7" ht="13.55" customHeight="1">
      <c r="A7" s="2"/>
      <c r="B7" s="2"/>
      <c r="C7" s="2"/>
      <c r="D7" s="2"/>
      <c r="E7" s="2"/>
      <c r="F7" s="2"/>
      <c r="G7" s="3"/>
      <c r="H7" s="2"/>
      <c r="I7" s="2"/>
      <c r="J7" s="2"/>
    </row>
    <row r="8" ht="13.55" customHeight="1">
      <c r="A8" s="2"/>
      <c r="B8" s="2"/>
      <c r="C8" s="2"/>
      <c r="D8" s="2"/>
      <c r="E8" s="2"/>
      <c r="F8" s="2"/>
      <c r="G8" s="3"/>
      <c r="H8" s="2"/>
      <c r="I8" s="2"/>
      <c r="J8" s="2"/>
    </row>
    <row r="9" ht="13.55" customHeight="1">
      <c r="A9" s="2"/>
      <c r="B9" s="2"/>
      <c r="C9" s="2"/>
      <c r="D9" s="2"/>
      <c r="E9" s="2"/>
      <c r="F9" s="2"/>
      <c r="G9" s="3"/>
      <c r="H9" s="2"/>
      <c r="I9" s="2"/>
      <c r="J9" s="2"/>
    </row>
    <row r="10" ht="13.55" customHeight="1">
      <c r="A10" s="2"/>
      <c r="B10" s="2"/>
      <c r="C10" s="2"/>
      <c r="D10" s="2"/>
      <c r="E10" s="2"/>
      <c r="F10" s="2"/>
      <c r="G10" s="3"/>
      <c r="H10" s="2"/>
      <c r="I10" s="2"/>
      <c r="J10" s="2"/>
    </row>
    <row r="11" ht="13.55" customHeight="1">
      <c r="A11" s="2"/>
      <c r="B11" s="2"/>
      <c r="C11" s="2"/>
      <c r="D11" s="2"/>
      <c r="E11" s="2"/>
      <c r="F11" s="2"/>
      <c r="G11" s="3"/>
      <c r="H11" s="2"/>
      <c r="I11" s="2"/>
      <c r="J11" s="2"/>
    </row>
    <row r="12" ht="13.55" customHeight="1">
      <c r="A12" s="2"/>
      <c r="B12" s="2"/>
      <c r="C12" s="2"/>
      <c r="D12" s="2"/>
      <c r="E12" s="2"/>
      <c r="F12" s="2"/>
      <c r="G12" s="3"/>
      <c r="H12" s="2"/>
      <c r="I12" s="2"/>
      <c r="J12" s="2"/>
    </row>
    <row r="13" ht="13.55" customHeight="1">
      <c r="A13" s="2"/>
      <c r="B13" s="2"/>
      <c r="C13" s="2"/>
      <c r="D13" s="2"/>
      <c r="E13" s="2"/>
      <c r="F13" s="2"/>
      <c r="G13" s="3"/>
      <c r="H13" s="2"/>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12" customWidth="1"/>
    <col min="2" max="3" width="20.6719" style="12" customWidth="1"/>
    <col min="4" max="4" width="16.6719" style="12" customWidth="1"/>
    <col min="5" max="5" width="148" style="12" customWidth="1"/>
    <col min="6" max="10" width="20.6719" style="12" customWidth="1"/>
    <col min="11" max="16384" width="20.6719" style="12"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18</v>
      </c>
      <c r="B3" s="8" cm="1">
        <f t="array" ref="B3">AVERAGE(54.391,53.426)</f>
        <v>53.9085</v>
      </c>
      <c r="C3" s="8" cm="1">
        <f t="array" ref="C3">B3/G3*1000000</f>
        <v>75.1337979094077</v>
      </c>
      <c r="D3" t="str" s="2" cm="1">
        <f t="array" ref="D3">IF(ISERROR(FIND("/",E3)),"No","Yes")</f>
        <v>Yes</v>
      </c>
      <c r="E3" t="s" s="7">
        <v>19</v>
      </c>
      <c r="F3" t="s" s="7">
        <v>12</v>
      </c>
      <c r="G3" s="10">
        <v>717500</v>
      </c>
      <c r="H3" t="s" s="7">
        <v>10</v>
      </c>
      <c r="I3" s="2"/>
      <c r="J3" s="2"/>
    </row>
    <row r="4" ht="13.55" customHeight="1">
      <c r="A4" t="s" s="7">
        <v>20</v>
      </c>
      <c r="B4" s="8">
        <v>55.354</v>
      </c>
      <c r="C4" s="8" cm="1">
        <f t="array" ref="C4">B4/G4*1000000</f>
        <v>82.3965465912474</v>
      </c>
      <c r="D4" t="str" s="2" cm="1">
        <f t="array" ref="D4">IF(ISERROR(FIND("/",E4)),"No","Yes")</f>
        <v>No</v>
      </c>
      <c r="E4" t="s" s="7">
        <v>21</v>
      </c>
      <c r="F4" t="s" s="7">
        <v>12</v>
      </c>
      <c r="G4" s="10">
        <v>671800</v>
      </c>
      <c r="H4" t="s" s="7">
        <v>10</v>
      </c>
      <c r="I4" s="2"/>
      <c r="J4" s="2"/>
    </row>
    <row r="5" ht="13.55" customHeight="1">
      <c r="A5" t="s" s="7">
        <v>22</v>
      </c>
      <c r="B5" s="8">
        <v>48.117</v>
      </c>
      <c r="C5" s="8" cm="1">
        <f t="array" ref="C5">B5/G5*1000000</f>
        <v>79.86224066390039</v>
      </c>
      <c r="D5" t="str" s="2" cm="1">
        <f t="array" ref="D5">IF(ISERROR(FIND("/",E5)),"No","Yes")</f>
        <v>No</v>
      </c>
      <c r="E5" t="s" s="7">
        <v>23</v>
      </c>
      <c r="F5" t="s" s="7">
        <v>12</v>
      </c>
      <c r="G5" s="10">
        <v>602500</v>
      </c>
      <c r="H5" t="s" s="7">
        <v>10</v>
      </c>
      <c r="I5" s="2"/>
      <c r="J5" s="2"/>
    </row>
    <row r="6" ht="13.55" customHeight="1">
      <c r="A6" t="s" s="7">
        <v>24</v>
      </c>
      <c r="B6" s="8">
        <v>34.107</v>
      </c>
      <c r="C6" s="8" cm="1">
        <f t="array" ref="C6">B6/G6*1000000</f>
        <v>91.7101371336381</v>
      </c>
      <c r="D6" t="str" s="2" cm="1">
        <f t="array" ref="D6">IF(ISERROR(FIND("/",E6)),"No","Yes")</f>
        <v>No</v>
      </c>
      <c r="E6" t="s" s="7">
        <v>25</v>
      </c>
      <c r="F6" t="s" s="7">
        <v>12</v>
      </c>
      <c r="G6" s="10">
        <v>371900</v>
      </c>
      <c r="H6" t="s" s="7">
        <v>10</v>
      </c>
      <c r="I6" s="2"/>
      <c r="J6" s="2"/>
    </row>
    <row r="7" ht="13.55" customHeight="1">
      <c r="A7" t="s" s="7">
        <v>26</v>
      </c>
      <c r="B7" s="8">
        <v>28.421</v>
      </c>
      <c r="C7" s="8" cm="1">
        <f t="array" ref="C7">B7/G7*1000000</f>
        <v>81.5991960953201</v>
      </c>
      <c r="D7" t="str" s="2" cm="1">
        <f t="array" ref="D7">IF(ISERROR(FIND("/",E7)),"No","Yes")</f>
        <v>No</v>
      </c>
      <c r="E7" t="s" s="7">
        <v>27</v>
      </c>
      <c r="F7" t="s" s="7">
        <v>12</v>
      </c>
      <c r="G7" s="10">
        <v>348300</v>
      </c>
      <c r="H7" t="s" s="7">
        <v>10</v>
      </c>
      <c r="I7" s="2"/>
      <c r="J7" s="2"/>
    </row>
    <row r="8" ht="13.55" customHeight="1">
      <c r="A8" t="s" s="7">
        <v>28</v>
      </c>
      <c r="B8" s="8">
        <v>31.576</v>
      </c>
      <c r="C8" s="8" cm="1">
        <f t="array" ref="C8">B8/G8*1000000</f>
        <v>87.1047651625077</v>
      </c>
      <c r="D8" t="str" s="2" cm="1">
        <f t="array" ref="D8">IF(ISERROR(FIND("/",E8)),"No","Yes")</f>
        <v>Yes</v>
      </c>
      <c r="E8" t="s" s="7">
        <v>29</v>
      </c>
      <c r="F8" t="s" s="7">
        <v>12</v>
      </c>
      <c r="G8" s="10">
        <v>362506</v>
      </c>
      <c r="H8" t="s" s="7">
        <v>10</v>
      </c>
      <c r="I8" s="2"/>
      <c r="J8" s="2"/>
    </row>
    <row r="9" ht="13.55" customHeight="1">
      <c r="A9" t="s" s="7">
        <v>30</v>
      </c>
      <c r="B9" s="8">
        <v>50.42</v>
      </c>
      <c r="C9" s="8" cm="1">
        <f t="array" ref="C9">B9/G9*1000000</f>
        <v>98.5342974399062</v>
      </c>
      <c r="D9" t="str" s="2" cm="1">
        <f t="array" ref="D9">IF(ISERROR(FIND("/",E9)),"No","Yes")</f>
        <v>No</v>
      </c>
      <c r="E9" t="s" s="7">
        <v>31</v>
      </c>
      <c r="F9" t="s" s="7">
        <v>12</v>
      </c>
      <c r="G9" s="10">
        <v>511700</v>
      </c>
      <c r="H9" t="s" s="7">
        <v>10</v>
      </c>
      <c r="I9" s="2"/>
      <c r="J9" s="2"/>
    </row>
    <row r="10" ht="13.55" customHeight="1">
      <c r="A10" t="s" s="7">
        <v>32</v>
      </c>
      <c r="B10" s="8">
        <v>45.353</v>
      </c>
      <c r="C10" s="8" cm="1">
        <f t="array" ref="C10">B10/G10*1000000</f>
        <v>83.4769004233389</v>
      </c>
      <c r="D10" t="str" s="2" cm="1">
        <f t="array" ref="D10">IF(ISERROR(FIND("/",E10)),"No","Yes")</f>
        <v>Yes</v>
      </c>
      <c r="E10" t="s" s="7">
        <v>33</v>
      </c>
      <c r="F10" t="s" s="7">
        <v>12</v>
      </c>
      <c r="G10" s="10">
        <v>543300</v>
      </c>
      <c r="H10" t="s" s="7">
        <v>10</v>
      </c>
      <c r="I10" s="2"/>
      <c r="J10" s="2"/>
    </row>
    <row r="11" ht="13.55" customHeight="1">
      <c r="A11" t="s" s="7">
        <v>34</v>
      </c>
      <c r="B11" s="8">
        <v>79.56100000000001</v>
      </c>
      <c r="C11" s="8" cm="1">
        <f t="array" ref="C11">B11/G11*1000000</f>
        <v>93.1191479400749</v>
      </c>
      <c r="D11" t="str" s="2" cm="1">
        <f t="array" ref="D11">IF(ISERROR(FIND("/",E11)),"No","Yes")</f>
        <v>No</v>
      </c>
      <c r="E11" t="s" s="7">
        <v>35</v>
      </c>
      <c r="F11" t="s" s="7">
        <v>36</v>
      </c>
      <c r="G11" s="10">
        <v>854400</v>
      </c>
      <c r="H11" t="s" s="7">
        <v>10</v>
      </c>
      <c r="I11" s="2"/>
      <c r="J11" s="2"/>
    </row>
    <row r="12" ht="13.55" customHeight="1">
      <c r="A12" t="s" s="7">
        <v>37</v>
      </c>
      <c r="B12" s="8" cm="1">
        <f t="array" ref="B12">AVERAGE(71.193,74.852)</f>
        <v>73.02249999999999</v>
      </c>
      <c r="C12" s="8" cm="1">
        <f t="array" ref="C12">B12/G12*1000000</f>
        <v>84.5363510071776</v>
      </c>
      <c r="D12" t="str" s="2" cm="1">
        <f t="array" ref="D12">IF(ISERROR(FIND("/",E12)),"No","Yes")</f>
        <v>Yes</v>
      </c>
      <c r="E12" t="s" s="7">
        <v>38</v>
      </c>
      <c r="F12" t="s" s="7">
        <v>12</v>
      </c>
      <c r="G12" s="10">
        <v>863800</v>
      </c>
      <c r="H12" t="s" s="7">
        <v>10</v>
      </c>
      <c r="I12" s="2"/>
      <c r="J12" s="2"/>
    </row>
    <row r="13" ht="13.55" customHeight="1">
      <c r="A13" t="s" s="7">
        <v>39</v>
      </c>
      <c r="B13" s="8" cm="1">
        <f t="array" ref="B13">AVERAGE(70.262,67.569)</f>
        <v>68.91549999999999</v>
      </c>
      <c r="C13" s="8" cm="1">
        <f t="array" ref="C13">B13/G13*1000000</f>
        <v>83.2212293201304</v>
      </c>
      <c r="D13" t="str" s="2" cm="1">
        <f t="array" ref="D13">IF(ISERROR(FIND("/",E13)),"No","Yes")</f>
        <v>No</v>
      </c>
      <c r="E13" t="s" s="7">
        <v>40</v>
      </c>
      <c r="F13" t="s" s="7">
        <v>12</v>
      </c>
      <c r="G13" s="10">
        <v>828100</v>
      </c>
      <c r="H13" t="s" s="7">
        <v>10</v>
      </c>
      <c r="I13" s="2"/>
      <c r="J13" s="2"/>
    </row>
    <row r="14" ht="13.55" customHeight="1">
      <c r="A14" t="s" s="7">
        <v>41</v>
      </c>
      <c r="B14" s="8" cm="1">
        <f t="array" ref="B14">AVERAGE(78.309,77.212)</f>
        <v>77.76049999999999</v>
      </c>
      <c r="C14" s="8" cm="1">
        <f t="array" ref="C14">B14/G14*1000000</f>
        <v>83.2910239931448</v>
      </c>
      <c r="D14" t="str" s="2" cm="1">
        <f t="array" ref="D14">IF(ISERROR(FIND("/",E14)),"No","Yes")</f>
        <v>No</v>
      </c>
      <c r="E14" t="s" s="7">
        <v>42</v>
      </c>
      <c r="F14" t="s" s="7">
        <v>12</v>
      </c>
      <c r="G14" s="10">
        <v>933600</v>
      </c>
      <c r="H14" t="s" s="7">
        <v>10</v>
      </c>
      <c r="I14" s="2"/>
      <c r="J14" s="2"/>
    </row>
    <row r="15" ht="13.55" customHeight="1">
      <c r="A15" t="s" s="7">
        <v>43</v>
      </c>
      <c r="B15" s="8" cm="1">
        <f t="array" ref="B15">AVERAGE(73.634,73.793)</f>
        <v>73.7135</v>
      </c>
      <c r="C15" s="8" cm="1">
        <f t="array" ref="C15">B15/G15*1000000</f>
        <v>82.0406232609905</v>
      </c>
      <c r="D15" t="str" s="2" cm="1">
        <f t="array" ref="D15">IF(ISERROR(FIND("/",E15)),"No","Yes")</f>
        <v>No</v>
      </c>
      <c r="E15" t="s" s="7">
        <v>44</v>
      </c>
      <c r="F15" t="s" s="7">
        <v>12</v>
      </c>
      <c r="G15" s="10">
        <v>898500</v>
      </c>
      <c r="H15" t="s" s="7">
        <v>10</v>
      </c>
      <c r="I15" s="2"/>
      <c r="J15" s="2"/>
    </row>
    <row r="16" ht="13.55" customHeight="1">
      <c r="A16" t="s" s="7">
        <v>45</v>
      </c>
      <c r="B16" s="8" cm="1">
        <f t="array" ref="B16">AVERAGE(79.277,77.701,76.853)</f>
        <v>77.9436666666667</v>
      </c>
      <c r="C16" s="8" cm="1">
        <f t="array" ref="C16">B16/G16*1000000</f>
        <v>85.5489701093916</v>
      </c>
      <c r="D16" t="str" s="2" cm="1">
        <f t="array" ref="D16">IF(ISERROR(FIND("/",E16)),"No","Yes")</f>
        <v>Yes</v>
      </c>
      <c r="E16" t="s" s="7">
        <v>46</v>
      </c>
      <c r="F16" t="s" s="7">
        <v>12</v>
      </c>
      <c r="G16" s="10">
        <v>911100</v>
      </c>
      <c r="H16" t="s" s="7">
        <v>10</v>
      </c>
      <c r="I16" s="2"/>
      <c r="J16" s="2"/>
    </row>
    <row r="17" ht="13.55" customHeight="1">
      <c r="A17" t="s" s="7">
        <v>47</v>
      </c>
      <c r="B17" s="8" cm="1">
        <f t="array" ref="B17">AVERAGE(58.949,59.532,59.063)</f>
        <v>59.1813333333333</v>
      </c>
      <c r="C17" s="8" cm="1">
        <f t="array" ref="C17">B17/G17*1000000</f>
        <v>83.0498643465244</v>
      </c>
      <c r="D17" t="str" s="2" cm="1">
        <f t="array" ref="D17">IF(ISERROR(FIND("/",E17)),"No","Yes")</f>
        <v>No</v>
      </c>
      <c r="E17" t="s" s="7">
        <v>48</v>
      </c>
      <c r="F17" t="s" s="7">
        <v>12</v>
      </c>
      <c r="G17" s="10">
        <v>712600</v>
      </c>
      <c r="H17" t="s" s="7">
        <v>10</v>
      </c>
      <c r="I17" s="2"/>
      <c r="J17" s="2"/>
    </row>
    <row r="18" ht="13.55" customHeight="1">
      <c r="A18" t="s" s="7">
        <v>49</v>
      </c>
      <c r="B18" s="8" cm="1">
        <f t="array" ref="B18">AVERAGE(32.893,33.995)</f>
        <v>33.444</v>
      </c>
      <c r="C18" s="8" cm="1">
        <f t="array" ref="C18">B18/G18*1000000</f>
        <v>97.2492003489386</v>
      </c>
      <c r="D18" t="str" s="2" cm="1">
        <f t="array" ref="D18">IF(ISERROR(FIND("/",E18)),"No","Yes")</f>
        <v>No</v>
      </c>
      <c r="E18" t="s" s="7">
        <v>50</v>
      </c>
      <c r="F18" t="s" s="7">
        <v>12</v>
      </c>
      <c r="G18" s="10">
        <v>343900</v>
      </c>
      <c r="H18" t="s" s="7">
        <v>10</v>
      </c>
      <c r="I18" s="2"/>
      <c r="J18" s="2"/>
    </row>
    <row r="19" ht="13.55" customHeight="1">
      <c r="A19" t="s" s="7">
        <v>51</v>
      </c>
      <c r="B19" s="8" cm="1">
        <f t="array" ref="B19">AVERAGE(78.395,78.343)</f>
        <v>78.369</v>
      </c>
      <c r="C19" s="8" cm="1">
        <f t="array" ref="C19">B19/G19*1000000</f>
        <v>79.4334076626799</v>
      </c>
      <c r="D19" t="str" s="2" cm="1">
        <f t="array" ref="D19">IF(ISERROR(FIND("/",E19)),"No","Yes")</f>
        <v>No</v>
      </c>
      <c r="E19" t="s" s="7">
        <v>52</v>
      </c>
      <c r="F19" t="s" s="7">
        <v>12</v>
      </c>
      <c r="G19" s="10">
        <v>986600</v>
      </c>
      <c r="H19" t="s" s="7">
        <v>10</v>
      </c>
      <c r="I19" s="2"/>
      <c r="J19" s="2"/>
    </row>
    <row r="20" ht="13.55" customHeight="1">
      <c r="A20" t="s" s="7">
        <v>53</v>
      </c>
      <c r="B20" s="8" cm="1">
        <f t="array" ref="B20">AVERAGE(26.423,26.58)</f>
        <v>26.5015</v>
      </c>
      <c r="C20" s="8" cm="1">
        <f t="array" ref="C20">B20/G20*1000000</f>
        <v>83.33805031446541</v>
      </c>
      <c r="D20" t="str" s="2" cm="1">
        <f t="array" ref="D20">IF(ISERROR(FIND("/",E20)),"No","Yes")</f>
        <v>No</v>
      </c>
      <c r="E20" t="s" s="7">
        <v>54</v>
      </c>
      <c r="F20" t="s" s="7">
        <v>55</v>
      </c>
      <c r="G20" s="10">
        <v>318000</v>
      </c>
      <c r="H20" t="s" s="7">
        <v>10</v>
      </c>
      <c r="I20" s="2"/>
      <c r="J20" s="2"/>
    </row>
    <row r="21" ht="13.55" customHeight="1">
      <c r="A21" t="s" s="7">
        <v>56</v>
      </c>
      <c r="B21" s="8">
        <v>55.479</v>
      </c>
      <c r="C21" s="8" cm="1">
        <f t="array" ref="C21">B21/G21*1000000</f>
        <v>60.0162267416703</v>
      </c>
      <c r="D21" t="str" s="2" cm="1">
        <f t="array" ref="D21">IF(ISERROR(FIND("/",E21)),"No","Yes")</f>
        <v>No</v>
      </c>
      <c r="E21" t="s" s="7">
        <v>57</v>
      </c>
      <c r="F21" t="s" s="7">
        <v>12</v>
      </c>
      <c r="G21" s="10">
        <v>924400</v>
      </c>
      <c r="H21" t="s" s="7">
        <v>10</v>
      </c>
      <c r="I21" s="2"/>
      <c r="J21" s="2"/>
    </row>
    <row r="22" ht="13.55" customHeight="1">
      <c r="A22" t="s" s="7">
        <v>58</v>
      </c>
      <c r="B22" s="8" cm="1">
        <f t="array" ref="B22">AVERAGE(42.67,43.71,42.805)</f>
        <v>43.0616666666667</v>
      </c>
      <c r="C22" s="8" cm="1">
        <f t="array" ref="C22">B22/G22*1000000</f>
        <v>100.776191590608</v>
      </c>
      <c r="D22" t="str" s="2" cm="1">
        <f t="array" ref="D22">IF(ISERROR(FIND("/",E22)),"No","Yes")</f>
        <v>No</v>
      </c>
      <c r="E22" t="s" s="7">
        <v>59</v>
      </c>
      <c r="F22" t="s" s="7">
        <v>12</v>
      </c>
      <c r="G22" s="10">
        <v>427300</v>
      </c>
      <c r="H22" t="s" s="7">
        <v>10</v>
      </c>
      <c r="I22" s="2"/>
      <c r="J22" s="2"/>
    </row>
    <row r="23" ht="13.55" customHeight="1">
      <c r="A23" t="s" s="7">
        <v>60</v>
      </c>
      <c r="B23" s="8" cm="1">
        <f t="array" ref="B23">AVERAGE(65.882,64.607)</f>
        <v>65.2445</v>
      </c>
      <c r="C23" s="8" cm="1">
        <f t="array" ref="C23">B23/G23*1000000</f>
        <v>89.72015951595159</v>
      </c>
      <c r="D23" t="str" s="2" cm="1">
        <f t="array" ref="D23">IF(ISERROR(FIND("/",E23)),"No","Yes")</f>
        <v>No</v>
      </c>
      <c r="E23" t="s" s="7">
        <v>61</v>
      </c>
      <c r="F23" t="s" s="7">
        <v>12</v>
      </c>
      <c r="G23" s="10">
        <v>727200</v>
      </c>
      <c r="H23" t="s" s="7">
        <v>10</v>
      </c>
      <c r="I23" s="2"/>
      <c r="J23" s="2"/>
    </row>
    <row r="24" ht="13.55" customHeight="1">
      <c r="A24" t="s" s="7">
        <v>62</v>
      </c>
      <c r="B24" s="8" cm="1">
        <f t="array" ref="B24">AVERAGE(65.584,66.323)</f>
        <v>65.95350000000001</v>
      </c>
      <c r="C24" s="8" cm="1">
        <f t="array" ref="C24">B24/G24*1000000</f>
        <v>86.723865877712</v>
      </c>
      <c r="D24" t="str" s="2" cm="1">
        <f t="array" ref="D24">IF(ISERROR(FIND("/",E24)),"No","Yes")</f>
        <v>No</v>
      </c>
      <c r="E24" t="s" s="7">
        <v>63</v>
      </c>
      <c r="F24" t="s" s="7">
        <v>12</v>
      </c>
      <c r="G24" s="10">
        <v>760500</v>
      </c>
      <c r="H24" t="s" s="7">
        <v>10</v>
      </c>
      <c r="I24" s="2"/>
      <c r="J24" s="2"/>
    </row>
    <row r="25" ht="13.55" customHeight="1">
      <c r="A25" t="s" s="7">
        <v>64</v>
      </c>
      <c r="B25" s="8" cm="1">
        <f t="array" ref="B25">AVERAGE(29.529,29.22)</f>
        <v>29.3745</v>
      </c>
      <c r="C25" s="8" cm="1">
        <f t="array" ref="C25">B25/G25*1000000</f>
        <v>92.372641509434</v>
      </c>
      <c r="D25" t="str" s="2" cm="1">
        <f t="array" ref="D25">IF(ISERROR(FIND("/",E25)),"No","Yes")</f>
        <v>No</v>
      </c>
      <c r="E25" t="s" s="7">
        <v>54</v>
      </c>
      <c r="F25" t="s" s="7">
        <v>12</v>
      </c>
      <c r="G25" s="10">
        <v>318000</v>
      </c>
      <c r="H25" t="s" s="7">
        <v>10</v>
      </c>
      <c r="I25" s="2"/>
      <c r="J25" s="2"/>
    </row>
    <row r="26" ht="13.55" customHeight="1">
      <c r="A26" t="s" s="7">
        <v>65</v>
      </c>
      <c r="B26" s="8" cm="1">
        <f t="array" ref="B26">AVERAGE(66.732,66.703)</f>
        <v>66.7175</v>
      </c>
      <c r="C26" s="8" cm="1">
        <f t="array" ref="C26">B26/G26*1000000</f>
        <v>84.9579778428626</v>
      </c>
      <c r="D26" t="str" s="2" cm="1">
        <f t="array" ref="D26">IF(ISERROR(FIND("/",E26)),"No","Yes")</f>
        <v>No</v>
      </c>
      <c r="E26" t="s" s="7">
        <v>66</v>
      </c>
      <c r="F26" t="s" s="7">
        <v>12</v>
      </c>
      <c r="G26" s="10">
        <v>785300</v>
      </c>
      <c r="H26" t="s" s="7">
        <v>10</v>
      </c>
      <c r="I26" s="2"/>
      <c r="J26" s="2"/>
    </row>
    <row r="27" ht="13.55" customHeight="1">
      <c r="A27" t="s" s="7">
        <v>67</v>
      </c>
      <c r="B27" s="8" cm="1">
        <f t="array" ref="B27">AVERAGE(67.465,66.68,67.799)</f>
        <v>67.3146666666667</v>
      </c>
      <c r="C27" s="8" cm="1">
        <f t="array" ref="C27">B27/G27*1000000</f>
        <v>83.4238030321808</v>
      </c>
      <c r="D27" t="str" s="2" cm="1">
        <f t="array" ref="D27">IF(ISERROR(FIND("/",E27)),"No","Yes")</f>
        <v>No</v>
      </c>
      <c r="E27" t="s" s="7">
        <v>68</v>
      </c>
      <c r="F27" t="s" s="7">
        <v>12</v>
      </c>
      <c r="G27" s="10">
        <v>806900</v>
      </c>
      <c r="H27" t="s" s="7">
        <v>10</v>
      </c>
      <c r="I27" s="2"/>
      <c r="J27" s="2"/>
    </row>
    <row r="28" ht="13.55" customHeight="1">
      <c r="A28" t="s" s="7">
        <v>69</v>
      </c>
      <c r="B28" s="8" cm="1">
        <f t="array" ref="B28">AVERAGE(62.407,60.92)</f>
        <v>61.6635</v>
      </c>
      <c r="C28" s="8" cm="1">
        <f t="array" ref="C28">B28/G28*1000000</f>
        <v>87.72727272727271</v>
      </c>
      <c r="D28" t="str" s="2" cm="1">
        <f t="array" ref="D28">IF(ISERROR(FIND("/",E28)),"No","Yes")</f>
        <v>No</v>
      </c>
      <c r="E28" t="s" s="7">
        <v>70</v>
      </c>
      <c r="F28" t="s" s="7">
        <v>12</v>
      </c>
      <c r="G28" s="10">
        <v>702900</v>
      </c>
      <c r="H28" t="s" s="7">
        <v>10</v>
      </c>
      <c r="I28" s="2"/>
      <c r="J28" s="2"/>
    </row>
    <row r="29" ht="13.55" customHeight="1">
      <c r="A29" t="s" s="7">
        <v>71</v>
      </c>
      <c r="B29" s="8" cm="1">
        <f t="array" ref="B29">AVERAGE(31.77,31.661)</f>
        <v>31.7155</v>
      </c>
      <c r="C29" s="8" cm="1">
        <f t="array" ref="C29">B29/G29*1000000</f>
        <v>99.5152180734233</v>
      </c>
      <c r="D29" t="str" s="2" cm="1">
        <f t="array" ref="D29">IF(ISERROR(FIND("/",E29)),"No","Yes")</f>
        <v>No</v>
      </c>
      <c r="E29" t="s" s="7">
        <v>72</v>
      </c>
      <c r="F29" t="s" s="7">
        <v>12</v>
      </c>
      <c r="G29" s="10">
        <v>318700</v>
      </c>
      <c r="H29" t="s" s="7">
        <v>10</v>
      </c>
      <c r="I29" s="13">
        <v>45222</v>
      </c>
      <c r="J29" s="2"/>
    </row>
    <row r="30" ht="13.55" customHeight="1">
      <c r="A30" t="s" s="7">
        <v>73</v>
      </c>
      <c r="B30" s="8" cm="1">
        <f t="array" ref="B30">AVERAGE(66.19,65.728)</f>
        <v>65.959</v>
      </c>
      <c r="C30" s="8" cm="1">
        <f t="array" ref="C30">B30/G30*1000000</f>
        <v>92.49614359837329</v>
      </c>
      <c r="D30" t="str" s="2" cm="1">
        <f t="array" ref="D30">IF(ISERROR(FIND("/",E30)),"No","Yes")</f>
        <v>No</v>
      </c>
      <c r="E30" t="s" s="7">
        <v>74</v>
      </c>
      <c r="F30" t="s" s="7">
        <v>12</v>
      </c>
      <c r="G30" s="10">
        <v>713100</v>
      </c>
      <c r="H30" t="s" s="7">
        <v>10</v>
      </c>
      <c r="I30" s="13">
        <v>45222</v>
      </c>
      <c r="J30" s="2"/>
    </row>
    <row r="31" ht="13.55" customHeight="1">
      <c r="A31" t="s" s="7">
        <v>75</v>
      </c>
      <c r="B31" s="8" cm="1">
        <f t="array" ref="B31">AVERAGE(70.875,70.011)</f>
        <v>70.443</v>
      </c>
      <c r="C31" s="8" cm="1">
        <f t="array" ref="C31">B31/G31*1000000</f>
        <v>98.7426408746846</v>
      </c>
      <c r="D31" t="str" s="2" cm="1">
        <f t="array" ref="D31">IF(ISERROR(FIND("/",E31)),"No","Yes")</f>
        <v>No</v>
      </c>
      <c r="E31" t="s" s="7">
        <v>76</v>
      </c>
      <c r="F31" t="s" s="7">
        <v>12</v>
      </c>
      <c r="G31" s="10">
        <v>713400</v>
      </c>
      <c r="H31" t="s" s="7">
        <v>10</v>
      </c>
      <c r="I31" s="13">
        <v>45257</v>
      </c>
      <c r="J31" s="2"/>
    </row>
    <row r="32" ht="13.55" customHeight="1">
      <c r="A32" t="s" s="7">
        <v>77</v>
      </c>
      <c r="B32" s="8">
        <v>72.80500000000001</v>
      </c>
      <c r="C32" s="8" cm="1">
        <f t="array" ref="C32">B32/G32*1000000</f>
        <v>77.4521276595745</v>
      </c>
      <c r="D32" t="str" s="2" cm="1">
        <f t="array" ref="D32">IF(ISERROR(FIND("/",E32)),"No","Yes")</f>
        <v>No</v>
      </c>
      <c r="E32" t="s" s="7">
        <v>78</v>
      </c>
      <c r="F32" t="s" s="7">
        <v>12</v>
      </c>
      <c r="G32" s="10">
        <v>940000</v>
      </c>
      <c r="H32" t="s" s="7">
        <v>10</v>
      </c>
      <c r="I32" s="13">
        <v>45198</v>
      </c>
      <c r="J32" s="2"/>
    </row>
    <row r="33" ht="13.55" customHeight="1">
      <c r="A33" t="s" s="7">
        <v>79</v>
      </c>
      <c r="B33" s="8" cm="1">
        <f t="array" ref="B33">AVERAGE(64.67,65.067)</f>
        <v>64.8685</v>
      </c>
      <c r="C33" s="8" cm="1">
        <f t="array" ref="C33">B33/G33*1000000</f>
        <v>91.248417498945</v>
      </c>
      <c r="D33" t="str" s="2" cm="1">
        <f t="array" ref="D33">IF(ISERROR(FIND("/",E33)),"No","Yes")</f>
        <v>No</v>
      </c>
      <c r="E33" t="s" s="7">
        <v>80</v>
      </c>
      <c r="F33" t="s" s="7">
        <v>12</v>
      </c>
      <c r="G33" s="10">
        <v>710900</v>
      </c>
      <c r="H33" t="s" s="7">
        <v>10</v>
      </c>
      <c r="I33" s="11">
        <v>45408</v>
      </c>
      <c r="J33" s="2"/>
    </row>
    <row r="34" ht="13.55" customHeight="1">
      <c r="A34" t="s" s="7">
        <v>81</v>
      </c>
      <c r="B34" s="8" cm="1">
        <f t="array" ref="B34">AVERAGE(33.093,33.068)</f>
        <v>33.0805</v>
      </c>
      <c r="C34" s="8" cm="1">
        <f t="array" ref="C34">B34/G34*1000000</f>
        <v>102.766387076732</v>
      </c>
      <c r="D34" t="str" s="2" cm="1">
        <f t="array" ref="D34">IF(ISERROR(FIND("/",E34)),"No","Yes")</f>
        <v>No</v>
      </c>
      <c r="E34" t="s" s="7">
        <v>82</v>
      </c>
      <c r="F34" t="s" s="7">
        <v>12</v>
      </c>
      <c r="G34" s="10">
        <v>321900</v>
      </c>
      <c r="H34" t="s" s="7">
        <v>10</v>
      </c>
      <c r="I34" s="11">
        <v>45408</v>
      </c>
      <c r="J34" s="2"/>
    </row>
    <row r="35" ht="13.55" customHeight="1">
      <c r="A35" t="s" s="7">
        <v>83</v>
      </c>
      <c r="B35" s="8" cm="1">
        <f t="array" ref="B35">AVERAGE(37.822,37.912)</f>
        <v>37.867</v>
      </c>
      <c r="C35" s="8" cm="1">
        <f t="array" ref="C35">B35/G35*1000000</f>
        <v>100.763704097924</v>
      </c>
      <c r="D35" t="str" s="2" cm="1">
        <f t="array" ref="D35">IF(ISERROR(FIND("/",E35)),"No","Yes")</f>
        <v>No</v>
      </c>
      <c r="E35" t="s" s="7">
        <v>84</v>
      </c>
      <c r="F35" t="s" s="7">
        <v>12</v>
      </c>
      <c r="G35" s="10">
        <v>375800</v>
      </c>
      <c r="H35" t="s" s="7">
        <v>10</v>
      </c>
      <c r="I35" s="11">
        <v>45408</v>
      </c>
      <c r="J35" s="2"/>
    </row>
    <row r="36" ht="13.55" customHeight="1">
      <c r="A36" t="s" s="7">
        <v>85</v>
      </c>
      <c r="B36" s="8" cm="1">
        <f t="array" ref="B36">AVERAGE(29.123,30.496)</f>
        <v>29.8095</v>
      </c>
      <c r="C36" s="8" cm="1">
        <f t="array" ref="C36">B36/G36*1000000</f>
        <v>87.1113383985973</v>
      </c>
      <c r="D36" t="str" s="2" cm="1">
        <f t="array" ref="D36">IF(ISERROR(FIND("/",E36)),"No","Yes")</f>
        <v>No</v>
      </c>
      <c r="E36" t="s" s="7">
        <v>86</v>
      </c>
      <c r="F36" t="s" s="7">
        <v>55</v>
      </c>
      <c r="G36" s="10">
        <v>342200</v>
      </c>
      <c r="H36" t="s" s="7">
        <v>10</v>
      </c>
      <c r="I36" s="11">
        <v>45408</v>
      </c>
      <c r="J36" s="2"/>
    </row>
    <row r="37" ht="13.55" customHeight="1">
      <c r="A37" t="s" s="7">
        <v>87</v>
      </c>
      <c r="B37" s="8" cm="1">
        <f t="array" ref="B37">AVERAGE(33.332,32.847)</f>
        <v>33.0895</v>
      </c>
      <c r="C37" s="8" cm="1">
        <f t="array" ref="C37">B37/G37*1000000</f>
        <v>97.093603286385</v>
      </c>
      <c r="D37" t="str" s="2" cm="1">
        <f t="array" ref="D37">IF(ISERROR(FIND("/",E37)),"No","Yes")</f>
        <v>No</v>
      </c>
      <c r="E37" t="s" s="7">
        <v>88</v>
      </c>
      <c r="F37" t="s" s="7">
        <v>55</v>
      </c>
      <c r="G37" s="10">
        <v>340800</v>
      </c>
      <c r="H37" t="s" s="7">
        <v>10</v>
      </c>
      <c r="I37" s="11">
        <v>45408</v>
      </c>
      <c r="J37" s="2"/>
    </row>
    <row r="38" ht="13.55" customHeight="1">
      <c r="A38" t="s" s="7">
        <v>89</v>
      </c>
      <c r="B38" s="8" cm="1">
        <f t="array" ref="B38">AVERAGE(72.676,75.403,71.837)</f>
        <v>73.30533333333329</v>
      </c>
      <c r="C38" s="8" cm="1">
        <f t="array" ref="C38">B38/G38*1000000</f>
        <v>83.3299230798378</v>
      </c>
      <c r="D38" t="str" s="2" cm="1">
        <f t="array" ref="D38">IF(ISERROR(FIND("/",E38)),"No","Yes")</f>
        <v>No</v>
      </c>
      <c r="E38" t="s" s="7">
        <v>90</v>
      </c>
      <c r="F38" t="s" s="7">
        <v>12</v>
      </c>
      <c r="G38" s="10">
        <v>879700</v>
      </c>
      <c r="H38" t="s" s="7">
        <v>10</v>
      </c>
      <c r="I38" s="11">
        <v>45446</v>
      </c>
      <c r="J38" s="2"/>
    </row>
    <row r="39" ht="13.55" customHeight="1">
      <c r="A39" t="s" s="7">
        <v>91</v>
      </c>
      <c r="B39" s="8" cm="1">
        <f t="array" ref="B39">AVERAGE(30.672,30.064)</f>
        <v>30.368</v>
      </c>
      <c r="C39" s="8" cm="1">
        <f t="array" ref="C39">B39/G39*1000000</f>
        <v>98.1512605042017</v>
      </c>
      <c r="D39" t="str" s="2" cm="1">
        <f t="array" ref="D39">IF(ISERROR(FIND("/",E39)),"No","Yes")</f>
        <v>No</v>
      </c>
      <c r="E39" t="s" s="7">
        <v>92</v>
      </c>
      <c r="F39" t="s" s="7">
        <v>12</v>
      </c>
      <c r="G39" s="10">
        <v>309400</v>
      </c>
      <c r="H39" t="s" s="7">
        <v>10</v>
      </c>
      <c r="I39" s="11">
        <v>45446</v>
      </c>
      <c r="J39" s="2"/>
    </row>
    <row r="40" ht="13.55" customHeight="1">
      <c r="A40" t="s" s="7">
        <v>93</v>
      </c>
      <c r="B40" s="8" cm="1">
        <f t="array" ref="B40">AVERAGE(31.983,32.087)</f>
        <v>32.035</v>
      </c>
      <c r="C40" s="8" cm="1">
        <f t="array" ref="C40">B40/G40*1000000</f>
        <v>89.2339832869081</v>
      </c>
      <c r="D40" t="str" s="2" cm="1">
        <f t="array" ref="D40">IF(ISERROR(FIND("/",E40)),"No","Yes")</f>
        <v>No</v>
      </c>
      <c r="E40" t="s" s="7">
        <v>94</v>
      </c>
      <c r="F40" t="s" s="7">
        <v>12</v>
      </c>
      <c r="G40" s="10">
        <v>359000</v>
      </c>
      <c r="H40" t="s" s="7">
        <v>10</v>
      </c>
      <c r="I40" s="11">
        <v>45446</v>
      </c>
      <c r="J40" s="2"/>
    </row>
    <row r="41" ht="13.55" customHeight="1">
      <c r="A41" t="s" s="7">
        <v>95</v>
      </c>
      <c r="B41" s="8" cm="1">
        <f t="array" ref="B41">AVERAGE(75.62,75.575)</f>
        <v>75.5975</v>
      </c>
      <c r="C41" s="8" cm="1">
        <f t="array" ref="C41">B41/G41*1000000</f>
        <v>88.68782261848899</v>
      </c>
      <c r="D41" t="str" s="2" cm="1">
        <f t="array" ref="D41">IF(ISERROR(FIND("/",E41)),"No","Yes")</f>
        <v>No</v>
      </c>
      <c r="E41" t="s" s="7">
        <v>96</v>
      </c>
      <c r="F41" t="s" s="7">
        <v>12</v>
      </c>
      <c r="G41" s="10">
        <v>852400</v>
      </c>
      <c r="H41" t="s" s="7">
        <v>10</v>
      </c>
      <c r="I41" s="11">
        <v>45446</v>
      </c>
      <c r="J41" s="2"/>
    </row>
    <row r="42" ht="13.55" customHeight="1">
      <c r="A42" t="s" s="7">
        <v>97</v>
      </c>
      <c r="B42" s="8" cm="1">
        <f t="array" ref="B42">AVERAGE(36.974,36.119)</f>
        <v>36.5465</v>
      </c>
      <c r="C42" s="8" cm="1">
        <f t="array" ref="C42">B42/G42*1000000</f>
        <v>100.374897006317</v>
      </c>
      <c r="D42" t="str" s="2" cm="1">
        <f t="array" ref="D42">IF(ISERROR(FIND("/",E42)),"No","Yes")</f>
        <v>No</v>
      </c>
      <c r="E42" t="s" s="7">
        <v>98</v>
      </c>
      <c r="F42" t="s" s="7">
        <v>12</v>
      </c>
      <c r="G42" s="10">
        <v>364100</v>
      </c>
      <c r="H42" t="s" s="7">
        <v>10</v>
      </c>
      <c r="I42" s="11">
        <v>45446</v>
      </c>
      <c r="J42" s="2"/>
    </row>
    <row r="43" ht="13.55" customHeight="1">
      <c r="A43" t="s" s="7">
        <v>99</v>
      </c>
      <c r="B43" s="8" cm="1">
        <f t="array" ref="B43">AVERAGE(36.408,37.085)</f>
        <v>36.7465</v>
      </c>
      <c r="C43" s="8" cm="1">
        <f t="array" ref="C43">B43/G43*1000000</f>
        <v>98.8872443487621</v>
      </c>
      <c r="D43" t="str" s="2" cm="1">
        <f t="array" ref="D43">IF(ISERROR(FIND("/",E43)),"No","Yes")</f>
        <v>No</v>
      </c>
      <c r="E43" t="s" s="7">
        <v>100</v>
      </c>
      <c r="F43" t="s" s="7">
        <v>12</v>
      </c>
      <c r="G43" s="10">
        <v>371600</v>
      </c>
      <c r="H43" t="s" s="7">
        <v>10</v>
      </c>
      <c r="I43" s="11">
        <v>45446</v>
      </c>
      <c r="J43" s="2"/>
    </row>
    <row r="44" ht="13.55" customHeight="1">
      <c r="A44" t="s" s="7">
        <v>101</v>
      </c>
      <c r="B44" s="8" cm="1">
        <f t="array" ref="B44">AVERAGE(81.88,81.838)</f>
        <v>81.85899999999999</v>
      </c>
      <c r="C44" s="8" cm="1">
        <f t="array" ref="C44">B44/G44*1000000</f>
        <v>136.591022860003</v>
      </c>
      <c r="D44" t="str" s="2" cm="1">
        <f t="array" ref="D44">IF(ISERROR(FIND("/",E44)),"No","Yes")</f>
        <v>Yes</v>
      </c>
      <c r="E44" t="s" s="7">
        <v>102</v>
      </c>
      <c r="F44" t="s" s="7">
        <v>36</v>
      </c>
      <c r="G44" s="10">
        <v>599300</v>
      </c>
      <c r="H44" t="s" s="7">
        <v>10</v>
      </c>
      <c r="I44" s="11">
        <v>45566</v>
      </c>
      <c r="J44" s="2"/>
    </row>
    <row r="45" ht="13.55" customHeight="1">
      <c r="A45" t="s" s="7">
        <v>103</v>
      </c>
      <c r="B45" s="8" cm="1">
        <f t="array" ref="B45">AVERAGE(70.774,71.928)</f>
        <v>71.351</v>
      </c>
      <c r="C45" s="8" cm="1">
        <f t="array" ref="C45">B45/G45*1000000</f>
        <v>96.8653271789302</v>
      </c>
      <c r="D45" t="str" s="2" cm="1">
        <f t="array" ref="D45">IF(ISERROR(FIND("/",E45)),"No","Yes")</f>
        <v>Yes</v>
      </c>
      <c r="E45" t="s" s="7">
        <v>104</v>
      </c>
      <c r="F45" t="s" s="7">
        <v>36</v>
      </c>
      <c r="G45" s="10">
        <v>736600</v>
      </c>
      <c r="H45" t="s" s="7">
        <v>10</v>
      </c>
      <c r="I45" s="11">
        <v>45566</v>
      </c>
      <c r="J45" s="2"/>
    </row>
    <row r="46" ht="13.55" customHeight="1">
      <c r="A46" t="s" s="7">
        <v>105</v>
      </c>
      <c r="B46" s="2"/>
      <c r="C46" s="8" cm="1">
        <f t="array" ref="C46">B46/G46*1000000</f>
        <v>0</v>
      </c>
      <c r="D46" t="str" s="2" cm="1">
        <f t="array" ref="D46">IF(ISERROR(FIND("/",E46)),"No","Yes")</f>
        <v>Yes</v>
      </c>
      <c r="E46" t="s" s="7">
        <v>106</v>
      </c>
      <c r="F46" t="s" s="7">
        <v>55</v>
      </c>
      <c r="G46" s="10">
        <v>1005300</v>
      </c>
      <c r="H46" t="s" s="7">
        <v>10</v>
      </c>
      <c r="I46" s="11">
        <v>45723</v>
      </c>
      <c r="J46" s="2"/>
    </row>
    <row r="47" ht="13.55" customHeight="1">
      <c r="A47" s="2"/>
      <c r="B47" s="2"/>
      <c r="C47" s="2"/>
      <c r="D47" s="2"/>
      <c r="E47" s="2"/>
      <c r="F47" s="2"/>
      <c r="G47" s="3"/>
      <c r="H47" s="2"/>
      <c r="I47" s="13"/>
      <c r="J47" s="2"/>
    </row>
    <row r="48" ht="13.55" customHeight="1">
      <c r="A48" s="2"/>
      <c r="B48" s="2"/>
      <c r="C48" s="2"/>
      <c r="D48" s="2"/>
      <c r="E48" s="2"/>
      <c r="F48" s="2"/>
      <c r="G48" s="3"/>
      <c r="H48" s="2"/>
      <c r="I48" s="13"/>
      <c r="J48" s="2"/>
    </row>
    <row r="49" ht="13.55" customHeight="1">
      <c r="A49" s="2"/>
      <c r="B49" s="2"/>
      <c r="C49" s="2"/>
      <c r="D49" s="2"/>
      <c r="E49" s="2"/>
      <c r="F49" s="2"/>
      <c r="G49" s="3"/>
      <c r="H49" s="2"/>
      <c r="I49" s="13"/>
      <c r="J49" s="2"/>
    </row>
    <row r="50" ht="13.55" customHeight="1">
      <c r="A50" s="2"/>
      <c r="B50" s="2"/>
      <c r="C50" s="2"/>
      <c r="D50" s="2"/>
      <c r="E50" s="2"/>
      <c r="F50" s="2"/>
      <c r="G50" s="3"/>
      <c r="H50" s="2"/>
      <c r="I50" s="13"/>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13"/>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13"/>
      <c r="J69" s="2"/>
    </row>
    <row r="70" ht="13.55" customHeight="1">
      <c r="A70" s="2"/>
      <c r="B70" s="2"/>
      <c r="C70" s="2"/>
      <c r="D70" s="2"/>
      <c r="E70" s="2"/>
      <c r="F70" s="2"/>
      <c r="G70" s="3"/>
      <c r="H70" s="2"/>
      <c r="I70" s="13"/>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14" customWidth="1"/>
    <col min="2" max="3" width="20.6719" style="14" customWidth="1"/>
    <col min="4" max="4" width="16.6719" style="14" customWidth="1"/>
    <col min="5" max="5" width="148" style="14" customWidth="1"/>
    <col min="6" max="10" width="20.6719" style="14" customWidth="1"/>
    <col min="11" max="16384" width="20.6719" style="14"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107</v>
      </c>
      <c r="B3" s="8">
        <v>81.11799999999999</v>
      </c>
      <c r="C3" s="8" cm="1">
        <f t="array" ref="C3">B3/G3*1000000</f>
        <v>81.8794791561522</v>
      </c>
      <c r="D3" t="str" s="2" cm="1">
        <f t="array" ref="D3">IF(ISERROR(FIND("/",E3)),"No","Yes")</f>
        <v>Yes</v>
      </c>
      <c r="E3" t="s" s="7">
        <v>108</v>
      </c>
      <c r="F3" t="s" s="7">
        <v>12</v>
      </c>
      <c r="G3" s="10">
        <v>990700</v>
      </c>
      <c r="H3" t="s" s="7">
        <v>10</v>
      </c>
      <c r="I3" s="2"/>
      <c r="J3" s="2"/>
    </row>
    <row r="4" ht="13.55" customHeight="1">
      <c r="A4" t="s" s="7">
        <v>109</v>
      </c>
      <c r="B4" s="8">
        <v>31.954</v>
      </c>
      <c r="C4" s="8" cm="1">
        <f t="array" ref="C4">B4/G4*1000000</f>
        <v>85.9195603190053</v>
      </c>
      <c r="D4" t="str" s="2" cm="1">
        <f t="array" ref="D4">IF(ISERROR(FIND("/",E4)),"No","Yes")</f>
        <v>Yes</v>
      </c>
      <c r="E4" t="s" s="7">
        <v>110</v>
      </c>
      <c r="F4" t="s" s="7">
        <v>12</v>
      </c>
      <c r="G4" s="10">
        <v>371906</v>
      </c>
      <c r="H4" t="s" s="7">
        <v>10</v>
      </c>
      <c r="I4" s="2"/>
      <c r="J4" s="2"/>
    </row>
    <row r="5" ht="13.55" customHeight="1">
      <c r="A5" t="s" s="7">
        <v>111</v>
      </c>
      <c r="B5" s="8">
        <v>72.821</v>
      </c>
      <c r="C5" s="8" cm="1">
        <f t="array" ref="C5">B5/G5*1000000</f>
        <v>72.7918832467013</v>
      </c>
      <c r="D5" t="str" s="2" cm="1">
        <f t="array" ref="D5">IF(ISERROR(FIND("/",E5)),"No","Yes")</f>
        <v>No</v>
      </c>
      <c r="E5" t="s" s="7">
        <v>112</v>
      </c>
      <c r="F5" t="s" s="7">
        <v>36</v>
      </c>
      <c r="G5" s="10">
        <v>1000400</v>
      </c>
      <c r="H5" t="s" s="7">
        <v>10</v>
      </c>
      <c r="I5" s="2"/>
      <c r="J5" s="2"/>
    </row>
    <row r="6" ht="13.55" customHeight="1">
      <c r="A6" t="s" s="7">
        <v>113</v>
      </c>
      <c r="B6" s="8" cm="1">
        <f t="array" ref="B6">AVERAGE(50.357,49.779)</f>
        <v>50.068</v>
      </c>
      <c r="C6" s="8" cm="1">
        <f t="array" ref="C6">B6/G6*1000000</f>
        <v>81.82382742278151</v>
      </c>
      <c r="D6" t="str" s="2" cm="1">
        <f t="array" ref="D6">IF(ISERROR(FIND("/",E6)),"No","Yes")</f>
        <v>No</v>
      </c>
      <c r="E6" t="s" s="7">
        <v>114</v>
      </c>
      <c r="F6" t="s" s="7">
        <v>12</v>
      </c>
      <c r="G6" s="10">
        <v>611900</v>
      </c>
      <c r="H6" t="s" s="7">
        <v>10</v>
      </c>
      <c r="I6" s="2"/>
      <c r="J6" s="2"/>
    </row>
    <row r="7" ht="13.55" customHeight="1">
      <c r="A7" t="s" s="7">
        <v>115</v>
      </c>
      <c r="B7" s="8" cm="1">
        <f t="array" ref="B7">AVERAGE(76.873,77.513,71.915,78.592)</f>
        <v>76.22324999999999</v>
      </c>
      <c r="C7" s="8" cm="1">
        <f t="array" ref="C7">B7/G7*1000000</f>
        <v>78.9060559006211</v>
      </c>
      <c r="D7" t="str" s="2" cm="1">
        <f t="array" ref="D7">IF(ISERROR(FIND("/",E7)),"No","Yes")</f>
        <v>No</v>
      </c>
      <c r="E7" t="s" s="7">
        <v>116</v>
      </c>
      <c r="F7" t="s" s="7">
        <v>12</v>
      </c>
      <c r="G7" s="10">
        <v>966000</v>
      </c>
      <c r="H7" t="s" s="7">
        <v>10</v>
      </c>
      <c r="I7" s="2"/>
      <c r="J7" s="2"/>
    </row>
    <row r="8" ht="13.55" customHeight="1">
      <c r="A8" t="s" s="7">
        <v>117</v>
      </c>
      <c r="B8" s="8" cm="1">
        <f t="array" ref="B8">AVERAGE(74.023,74.21)</f>
        <v>74.1165</v>
      </c>
      <c r="C8" s="8" cm="1">
        <f t="array" ref="C8">B8/G8*1000000</f>
        <v>80.50016291951781</v>
      </c>
      <c r="D8" t="str" s="2" cm="1">
        <f t="array" ref="D8">IF(ISERROR(FIND("/",E8)),"No","Yes")</f>
        <v>Yes</v>
      </c>
      <c r="E8" t="s" s="7">
        <v>118</v>
      </c>
      <c r="F8" t="s" s="7">
        <v>12</v>
      </c>
      <c r="G8" s="10">
        <v>920700</v>
      </c>
      <c r="H8" t="s" s="7">
        <v>10</v>
      </c>
      <c r="I8" s="2"/>
      <c r="J8" s="2"/>
    </row>
    <row r="9" ht="13.55" customHeight="1">
      <c r="A9" t="s" s="7">
        <v>119</v>
      </c>
      <c r="B9" s="8" cm="1">
        <f t="array" ref="B9">AVERAGE(77.517,76.886)</f>
        <v>77.2015</v>
      </c>
      <c r="C9" s="8" cm="1">
        <f t="array" ref="C9">B9/G9*1000000</f>
        <v>85.0143156040084</v>
      </c>
      <c r="D9" t="str" s="2" cm="1">
        <f t="array" ref="D9">IF(ISERROR(FIND("/",E9)),"No","Yes")</f>
        <v>No</v>
      </c>
      <c r="E9" t="s" s="7">
        <v>120</v>
      </c>
      <c r="F9" t="s" s="7">
        <v>12</v>
      </c>
      <c r="G9" s="10">
        <v>908100</v>
      </c>
      <c r="H9" t="s" s="7">
        <v>10</v>
      </c>
      <c r="I9" s="2"/>
      <c r="J9" s="2"/>
    </row>
    <row r="10" ht="13.55" customHeight="1">
      <c r="A10" t="s" s="7">
        <v>121</v>
      </c>
      <c r="B10" s="8" cm="1">
        <f t="array" ref="B10">AVERAGE(96.859,98.198)</f>
        <v>97.52849999999999</v>
      </c>
      <c r="C10" s="8" cm="1">
        <f t="array" ref="C10">B10/G10*1000000</f>
        <v>99.7121971168592</v>
      </c>
      <c r="D10" t="str" s="2" cm="1">
        <f t="array" ref="D10">IF(ISERROR(FIND("/",E10)),"No","Yes")</f>
        <v>No</v>
      </c>
      <c r="E10" t="s" s="7">
        <v>122</v>
      </c>
      <c r="F10" t="s" s="7">
        <v>12</v>
      </c>
      <c r="G10" s="10">
        <v>978100</v>
      </c>
      <c r="H10" t="s" s="7">
        <v>10</v>
      </c>
      <c r="I10" s="2"/>
      <c r="J10" s="2"/>
    </row>
    <row r="11" ht="13.55" customHeight="1">
      <c r="A11" t="s" s="7">
        <v>123</v>
      </c>
      <c r="B11" s="8" cm="1">
        <f t="array" ref="B11">AVERAGE(34.738,34.757)</f>
        <v>34.7475</v>
      </c>
      <c r="C11" s="8" cm="1">
        <f t="array" ref="C11">B11/G11*1000000</f>
        <v>96.1203319502075</v>
      </c>
      <c r="D11" t="str" s="2" cm="1">
        <f t="array" ref="D11">IF(ISERROR(FIND("/",E11)),"No","Yes")</f>
        <v>No</v>
      </c>
      <c r="E11" t="s" s="7">
        <v>124</v>
      </c>
      <c r="F11" t="s" s="7">
        <v>12</v>
      </c>
      <c r="G11" s="10">
        <v>361500</v>
      </c>
      <c r="H11" t="s" s="7">
        <v>10</v>
      </c>
      <c r="I11" s="2"/>
      <c r="J11" s="2"/>
    </row>
    <row r="12" ht="13.55" customHeight="1">
      <c r="A12" t="s" s="7">
        <v>125</v>
      </c>
      <c r="B12" s="8" cm="1">
        <f t="array" ref="B12">AVERAGE(65.964,66.092)</f>
        <v>66.02800000000001</v>
      </c>
      <c r="C12" s="8" cm="1">
        <f t="array" ref="C12">B12/G12*1000000</f>
        <v>87.9552417743439</v>
      </c>
      <c r="D12" t="str" s="2" cm="1">
        <f t="array" ref="D12">IF(ISERROR(FIND("/",E12)),"No","Yes")</f>
        <v>No</v>
      </c>
      <c r="E12" t="s" s="7">
        <v>126</v>
      </c>
      <c r="F12" t="s" s="7">
        <v>12</v>
      </c>
      <c r="G12" s="10">
        <v>750700</v>
      </c>
      <c r="H12" t="s" s="7">
        <v>10</v>
      </c>
      <c r="I12" s="2"/>
      <c r="J12" s="2"/>
    </row>
    <row r="13" ht="13.55" customHeight="1">
      <c r="A13" t="s" s="7">
        <v>127</v>
      </c>
      <c r="B13" s="8" cm="1">
        <f t="array" ref="B13">AVERAGE(29.857,29.82)</f>
        <v>29.8385</v>
      </c>
      <c r="C13" s="8" cm="1">
        <f t="array" ref="C13">B13/G13*1000000</f>
        <v>91.13775198533899</v>
      </c>
      <c r="D13" t="str" s="2" cm="1">
        <f t="array" ref="D13">IF(ISERROR(FIND("/",E13)),"No","Yes")</f>
        <v>No</v>
      </c>
      <c r="E13" t="s" s="7">
        <v>128</v>
      </c>
      <c r="F13" t="s" s="7">
        <v>12</v>
      </c>
      <c r="G13" s="10">
        <v>327400</v>
      </c>
      <c r="H13" t="s" s="7">
        <v>10</v>
      </c>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15" customWidth="1"/>
    <col min="2" max="3" width="20.6719" style="15" customWidth="1"/>
    <col min="4" max="4" width="16.6719" style="15" customWidth="1"/>
    <col min="5" max="5" width="148" style="15" customWidth="1"/>
    <col min="6" max="10" width="20.6719" style="15" customWidth="1"/>
    <col min="11" max="16384" width="20.6719" style="15"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129</v>
      </c>
      <c r="B3" s="8">
        <v>75.648</v>
      </c>
      <c r="C3" s="8" cm="1">
        <f t="array" ref="C3">B3/G3*1000000</f>
        <v>76.1199436506339</v>
      </c>
      <c r="D3" t="str" s="2" cm="1">
        <f t="array" ref="D3">IF(ISERROR(FIND("/",E3)),"No","Yes")</f>
        <v>Yes</v>
      </c>
      <c r="E3" t="s" s="7">
        <v>130</v>
      </c>
      <c r="F3" t="s" s="7">
        <v>12</v>
      </c>
      <c r="G3" s="10">
        <v>993800</v>
      </c>
      <c r="H3" t="s" s="7">
        <v>10</v>
      </c>
      <c r="I3" s="2"/>
      <c r="J3" s="2"/>
    </row>
    <row r="4" ht="13.55" customHeight="1">
      <c r="A4" t="s" s="7">
        <v>131</v>
      </c>
      <c r="B4" s="8">
        <v>33.179</v>
      </c>
      <c r="C4" s="8" cm="1">
        <f t="array" ref="C4">B4/G4*1000000</f>
        <v>85.48953121054559</v>
      </c>
      <c r="D4" t="str" s="2" cm="1">
        <f t="array" ref="D4">IF(ISERROR(FIND("/",E4)),"No","Yes")</f>
        <v>Yes</v>
      </c>
      <c r="E4" t="s" s="7">
        <v>132</v>
      </c>
      <c r="F4" t="s" s="7">
        <v>12</v>
      </c>
      <c r="G4" s="10">
        <v>388106</v>
      </c>
      <c r="H4" t="s" s="7">
        <v>10</v>
      </c>
      <c r="I4" s="2"/>
      <c r="J4" s="2"/>
    </row>
    <row r="5" ht="13.55" customHeight="1">
      <c r="A5" t="s" s="7">
        <v>133</v>
      </c>
      <c r="B5" s="8" cm="1">
        <f t="array" ref="B5">AVERAGE(48.189,48.679)</f>
        <v>48.434</v>
      </c>
      <c r="C5" s="8" cm="1">
        <f t="array" ref="C5">B5/G5*1000000</f>
        <v>76.599715325004</v>
      </c>
      <c r="D5" t="str" s="2" cm="1">
        <f t="array" ref="D5">IF(ISERROR(FIND("/",E5)),"No","Yes")</f>
        <v>No</v>
      </c>
      <c r="E5" t="s" s="7">
        <v>134</v>
      </c>
      <c r="F5" t="s" s="7">
        <v>12</v>
      </c>
      <c r="G5" s="10">
        <v>632300</v>
      </c>
      <c r="H5" t="s" s="7">
        <v>10</v>
      </c>
      <c r="I5" s="2"/>
      <c r="J5" s="2"/>
    </row>
    <row r="6" ht="13.55" customHeight="1">
      <c r="A6" t="s" s="7">
        <v>135</v>
      </c>
      <c r="B6" s="8">
        <v>74.318</v>
      </c>
      <c r="C6" s="8" cm="1">
        <f t="array" ref="C6">B6/G6*1000000</f>
        <v>76.84624134008889</v>
      </c>
      <c r="D6" t="str" s="2" cm="1">
        <f t="array" ref="D6">IF(ISERROR(FIND("/",E6)),"No","Yes")</f>
        <v>Yes</v>
      </c>
      <c r="E6" t="s" s="7">
        <v>136</v>
      </c>
      <c r="F6" t="s" s="7">
        <v>12</v>
      </c>
      <c r="G6" s="10">
        <v>967100</v>
      </c>
      <c r="H6" t="s" s="7">
        <v>10</v>
      </c>
      <c r="I6" s="2"/>
      <c r="J6" s="2"/>
    </row>
    <row r="7" ht="13.55" customHeight="1">
      <c r="A7" t="s" s="7">
        <v>137</v>
      </c>
      <c r="B7" s="8">
        <v>28.897</v>
      </c>
      <c r="C7" s="8" cm="1">
        <f t="array" ref="C7">B7/G7*1000000</f>
        <v>83.6382054992764</v>
      </c>
      <c r="D7" t="str" s="2" cm="1">
        <f t="array" ref="D7">IF(ISERROR(FIND("/",E7)),"No","Yes")</f>
        <v>No</v>
      </c>
      <c r="E7" t="s" s="7">
        <v>138</v>
      </c>
      <c r="F7" t="s" s="7">
        <v>12</v>
      </c>
      <c r="G7" s="10">
        <v>345500</v>
      </c>
      <c r="H7" t="s" s="7">
        <v>10</v>
      </c>
      <c r="I7" s="2"/>
      <c r="J7" s="2"/>
    </row>
    <row r="8" ht="13.55" customHeight="1">
      <c r="A8" t="s" s="7">
        <v>139</v>
      </c>
      <c r="B8" s="8" cm="1">
        <f t="array" ref="B8">AVERAGE(45.294,54.453,54.397,46.551,51.085)</f>
        <v>50.356</v>
      </c>
      <c r="C8" s="8" cm="1">
        <f t="array" ref="C8">B8/G8*1000000</f>
        <v>80.08269720101779</v>
      </c>
      <c r="D8" t="str" s="2" cm="1">
        <f t="array" ref="D8">IF(ISERROR(FIND("/",E8)),"No","Yes")</f>
        <v>No</v>
      </c>
      <c r="E8" t="s" s="7">
        <v>140</v>
      </c>
      <c r="F8" t="s" s="7">
        <v>12</v>
      </c>
      <c r="G8" s="10">
        <v>628800</v>
      </c>
      <c r="H8" t="s" s="7">
        <v>10</v>
      </c>
      <c r="I8" s="2"/>
      <c r="J8" s="2"/>
    </row>
    <row r="9" ht="13.55" customHeight="1">
      <c r="A9" t="s" s="7">
        <v>141</v>
      </c>
      <c r="B9" s="8" cm="1">
        <f t="array" ref="B9">AVERAGE(72.754,73.902)</f>
        <v>73.328</v>
      </c>
      <c r="C9" s="8" cm="1">
        <f t="array" ref="C9">B9/G9*1000000</f>
        <v>81.29490022172951</v>
      </c>
      <c r="D9" t="str" s="2" cm="1">
        <f t="array" ref="D9">IF(ISERROR(FIND("/",E9)),"No","Yes")</f>
        <v>No</v>
      </c>
      <c r="E9" t="s" s="7">
        <v>142</v>
      </c>
      <c r="F9" t="s" s="7">
        <v>12</v>
      </c>
      <c r="G9" s="10">
        <v>902000</v>
      </c>
      <c r="H9" t="s" s="7">
        <v>10</v>
      </c>
      <c r="I9" s="2"/>
      <c r="J9" s="2"/>
    </row>
    <row r="10" ht="13.55" customHeight="1">
      <c r="A10" t="s" s="7">
        <v>143</v>
      </c>
      <c r="B10" s="8" cm="1">
        <f t="array" ref="B10">AVERAGE(75.915,75.258)</f>
        <v>75.5865</v>
      </c>
      <c r="C10" s="8" cm="1">
        <f t="array" ref="C10">B10/G10*1000000</f>
        <v>80.608403540578</v>
      </c>
      <c r="D10" t="str" s="2" cm="1">
        <f t="array" ref="D10">IF(ISERROR(FIND("/",E10)),"No","Yes")</f>
        <v>Yes</v>
      </c>
      <c r="E10" t="s" s="7">
        <v>144</v>
      </c>
      <c r="F10" t="s" s="7">
        <v>12</v>
      </c>
      <c r="G10" s="10">
        <v>937700</v>
      </c>
      <c r="H10" t="s" s="7">
        <v>10</v>
      </c>
      <c r="I10" s="2"/>
      <c r="J10" s="2"/>
    </row>
    <row r="11" ht="13.55" customHeight="1">
      <c r="A11" t="s" s="7">
        <v>145</v>
      </c>
      <c r="B11" s="8" cm="1">
        <f t="array" ref="B11">AVERAGE(97.961,96.783)</f>
        <v>97.372</v>
      </c>
      <c r="C11" s="8" cm="1">
        <f t="array" ref="C11">B11/G11*1000000</f>
        <v>98.30590610802621</v>
      </c>
      <c r="D11" t="str" s="2" cm="1">
        <f t="array" ref="D11">IF(ISERROR(FIND("/",E11)),"No","Yes")</f>
        <v>No</v>
      </c>
      <c r="E11" t="s" s="7">
        <v>146</v>
      </c>
      <c r="F11" t="s" s="7">
        <v>12</v>
      </c>
      <c r="G11" s="10">
        <v>990500</v>
      </c>
      <c r="H11" t="s" s="7">
        <v>10</v>
      </c>
      <c r="I11" s="2"/>
      <c r="J11" s="2"/>
    </row>
    <row r="12" ht="13.55" customHeight="1">
      <c r="A12" t="s" s="7">
        <v>147</v>
      </c>
      <c r="B12" s="8" cm="1">
        <f t="array" ref="B12">AVERAGE(34.721,34.262)</f>
        <v>34.4915</v>
      </c>
      <c r="C12" s="8" cm="1">
        <f t="array" ref="C12">B12/G12*1000000</f>
        <v>97.2413307020017</v>
      </c>
      <c r="D12" t="str" s="2" cm="1">
        <f t="array" ref="D12">IF(ISERROR(FIND("/",E12)),"No","Yes")</f>
        <v>No</v>
      </c>
      <c r="E12" t="s" s="7">
        <v>148</v>
      </c>
      <c r="F12" t="s" s="7">
        <v>12</v>
      </c>
      <c r="G12" s="10">
        <v>354700</v>
      </c>
      <c r="H12" t="s" s="7">
        <v>10</v>
      </c>
      <c r="I12" s="2"/>
      <c r="J12" s="2"/>
    </row>
    <row r="13" ht="13.55" customHeight="1">
      <c r="A13" t="s" s="7">
        <v>149</v>
      </c>
      <c r="B13" s="8" cm="1">
        <f t="array" ref="B13">AVERAGE(77.881,76.895)</f>
        <v>77.38800000000001</v>
      </c>
      <c r="C13" s="8" cm="1">
        <f t="array" ref="C13">B13/G13*1000000</f>
        <v>79.9875968992248</v>
      </c>
      <c r="D13" t="str" s="2" cm="1">
        <f t="array" ref="D13">IF(ISERROR(FIND("/",E13)),"No","Yes")</f>
        <v>No</v>
      </c>
      <c r="E13" t="s" s="7">
        <v>150</v>
      </c>
      <c r="F13" t="s" s="7">
        <v>12</v>
      </c>
      <c r="G13" s="10">
        <v>967500</v>
      </c>
      <c r="H13" t="s" s="7">
        <v>10</v>
      </c>
      <c r="I13" s="2"/>
      <c r="J13" s="2"/>
    </row>
    <row r="14" ht="13.55" customHeight="1">
      <c r="A14" t="s" s="7">
        <v>151</v>
      </c>
      <c r="B14" s="8" cm="1">
        <f t="array" ref="B14">AVERAGE(61.975,62.328,62.047)</f>
        <v>62.1166666666667</v>
      </c>
      <c r="C14" s="8" cm="1">
        <f t="array" ref="C14">B14/G14*1000000</f>
        <v>82.1975210621499</v>
      </c>
      <c r="D14" t="str" s="2" cm="1">
        <f t="array" ref="D14">IF(ISERROR(FIND("/",E14)),"No","Yes")</f>
        <v>No</v>
      </c>
      <c r="E14" t="s" s="7">
        <v>152</v>
      </c>
      <c r="F14" t="s" s="7">
        <v>12</v>
      </c>
      <c r="G14" s="10">
        <v>755700</v>
      </c>
      <c r="H14" t="s" s="7">
        <v>10</v>
      </c>
      <c r="I14" s="2"/>
      <c r="J14" s="2"/>
    </row>
    <row r="15" ht="13.55" customHeight="1">
      <c r="A15" t="s" s="7">
        <v>153</v>
      </c>
      <c r="B15" s="8">
        <v>32.89</v>
      </c>
      <c r="C15" s="8" cm="1">
        <f t="array" ref="C15">B15/G15*1000000</f>
        <v>82.3485227841763</v>
      </c>
      <c r="D15" t="str" s="2" cm="1">
        <f t="array" ref="D15">IF(ISERROR(FIND("/",E15)),"No","Yes")</f>
        <v>No</v>
      </c>
      <c r="E15" t="s" s="7">
        <v>154</v>
      </c>
      <c r="F15" t="s" s="7">
        <v>55</v>
      </c>
      <c r="G15" s="10">
        <v>399400</v>
      </c>
      <c r="H15" t="s" s="7">
        <v>10</v>
      </c>
      <c r="I15" s="2"/>
      <c r="J15" s="2"/>
    </row>
    <row r="16" ht="13.55" customHeight="1">
      <c r="A16" t="s" s="7">
        <v>155</v>
      </c>
      <c r="B16" s="8" cm="1">
        <f t="array" ref="B16">AVERAGE(50.885,50.413)</f>
        <v>50.649</v>
      </c>
      <c r="C16" s="8" cm="1">
        <f t="array" ref="C16">B16/G16*1000000</f>
        <v>88.10053922421289</v>
      </c>
      <c r="D16" t="str" s="2" cm="1">
        <f t="array" ref="D16">IF(ISERROR(FIND("/",E16)),"No","Yes")</f>
        <v>Yes</v>
      </c>
      <c r="E16" t="s" s="7">
        <v>156</v>
      </c>
      <c r="F16" t="s" s="7">
        <v>12</v>
      </c>
      <c r="G16" s="10">
        <v>574900</v>
      </c>
      <c r="H16" t="s" s="7">
        <v>10</v>
      </c>
      <c r="I16" s="2"/>
      <c r="J16" s="2"/>
    </row>
    <row r="17" ht="13.55" customHeight="1">
      <c r="A17" t="s" s="7">
        <v>157</v>
      </c>
      <c r="B17" s="8" cm="1">
        <f t="array" ref="B17">AVERAGE(39.689,39.299)</f>
        <v>39.494</v>
      </c>
      <c r="C17" s="8" cm="1">
        <f t="array" ref="C17">B17/G17*1000000</f>
        <v>98.735</v>
      </c>
      <c r="D17" t="str" s="2" cm="1">
        <f t="array" ref="D17">IF(ISERROR(FIND("/",E17)),"No","Yes")</f>
        <v>No</v>
      </c>
      <c r="E17" t="s" s="7">
        <v>158</v>
      </c>
      <c r="F17" t="s" s="7">
        <v>12</v>
      </c>
      <c r="G17" s="10">
        <v>400000</v>
      </c>
      <c r="H17" t="s" s="7">
        <v>10</v>
      </c>
      <c r="I17" s="2"/>
      <c r="J17" s="2"/>
    </row>
    <row r="18" ht="13.55" customHeight="1">
      <c r="A18" t="s" s="7">
        <v>159</v>
      </c>
      <c r="B18" s="8" cm="1">
        <f t="array" ref="B18">AVERAGE(35.679,35.777)</f>
        <v>35.728</v>
      </c>
      <c r="C18" s="8" cm="1">
        <f t="array" ref="C18">B18/G18*1000000</f>
        <v>101.731207289294</v>
      </c>
      <c r="D18" t="str" s="2" cm="1">
        <f t="array" ref="D18">IF(ISERROR(FIND("/",E18)),"No","Yes")</f>
        <v>No</v>
      </c>
      <c r="E18" t="s" s="7">
        <v>160</v>
      </c>
      <c r="F18" t="s" s="7">
        <v>12</v>
      </c>
      <c r="G18" s="10">
        <v>351200</v>
      </c>
      <c r="H18" t="s" s="7">
        <v>10</v>
      </c>
      <c r="I18" s="2"/>
      <c r="J18" s="2"/>
    </row>
    <row r="19" ht="13.55" customHeight="1">
      <c r="A19" t="s" s="7">
        <v>161</v>
      </c>
      <c r="B19" s="8" cm="1">
        <f t="array" ref="B19">AVERAGE(32.853,32.226)</f>
        <v>32.5395</v>
      </c>
      <c r="C19" s="8" cm="1">
        <f t="array" ref="C19">B19/G19*1000000</f>
        <v>94.7016880093132</v>
      </c>
      <c r="D19" t="str" s="2" cm="1">
        <f t="array" ref="D19">IF(ISERROR(FIND("/",E19)),"No","Yes")</f>
        <v>No</v>
      </c>
      <c r="E19" t="s" s="7">
        <v>162</v>
      </c>
      <c r="F19" t="s" s="7">
        <v>12</v>
      </c>
      <c r="G19" s="10">
        <v>343600</v>
      </c>
      <c r="H19" t="s" s="7">
        <v>10</v>
      </c>
      <c r="I19" s="2"/>
      <c r="J19" s="2"/>
    </row>
    <row r="20" ht="13.55" customHeight="1">
      <c r="A20" t="s" s="7">
        <v>163</v>
      </c>
      <c r="B20" s="8" cm="1">
        <f t="array" ref="B20">AVERAGE(69.538,66.569)</f>
        <v>68.0535</v>
      </c>
      <c r="C20" s="8" cm="1">
        <f t="array" ref="C20">B20/G20*1000000</f>
        <v>90.2925567201804</v>
      </c>
      <c r="D20" t="str" s="2" cm="1">
        <f t="array" ref="D20">IF(ISERROR(FIND("/",E20)),"No","Yes")</f>
        <v>No</v>
      </c>
      <c r="E20" t="s" s="7">
        <v>164</v>
      </c>
      <c r="F20" t="s" s="7">
        <v>12</v>
      </c>
      <c r="G20" s="10">
        <v>753700</v>
      </c>
      <c r="H20" t="s" s="7">
        <v>10</v>
      </c>
      <c r="I20" s="13">
        <v>45200</v>
      </c>
      <c r="J20" s="2"/>
    </row>
    <row r="21" ht="13.55" customHeight="1">
      <c r="A21" t="s" s="7">
        <v>165</v>
      </c>
      <c r="B21" s="8" cm="1">
        <f t="array" ref="B21">AVERAGE(69.017,67.886)</f>
        <v>68.4515</v>
      </c>
      <c r="C21" s="8" cm="1">
        <f t="array" ref="C21">B21/G21*1000000</f>
        <v>94.93966712898749</v>
      </c>
      <c r="D21" t="str" s="2" cm="1">
        <f t="array" ref="D21">IF(ISERROR(FIND("/",E21)),"No","Yes")</f>
        <v>No</v>
      </c>
      <c r="E21" t="s" s="7">
        <v>166</v>
      </c>
      <c r="F21" t="s" s="7">
        <v>12</v>
      </c>
      <c r="G21" s="10">
        <v>721000</v>
      </c>
      <c r="H21" t="s" s="7">
        <v>10</v>
      </c>
      <c r="I21" s="13">
        <v>45222</v>
      </c>
      <c r="J21" s="2"/>
    </row>
    <row r="22" ht="13.55" customHeight="1">
      <c r="A22" t="s" s="7">
        <v>167</v>
      </c>
      <c r="B22" s="8" cm="1">
        <f t="array" ref="B22">AVERAGE(72.058,72.687)</f>
        <v>72.3725</v>
      </c>
      <c r="C22" s="8" cm="1">
        <f t="array" ref="C22">B22/G22*1000000</f>
        <v>89.0190651906519</v>
      </c>
      <c r="D22" t="str" s="2" cm="1">
        <f t="array" ref="D22">IF(ISERROR(FIND("/",E22)),"No","Yes")</f>
        <v>No</v>
      </c>
      <c r="E22" t="s" s="7">
        <v>168</v>
      </c>
      <c r="F22" t="s" s="7">
        <v>12</v>
      </c>
      <c r="G22" s="10">
        <v>813000</v>
      </c>
      <c r="H22" t="s" s="7">
        <v>10</v>
      </c>
      <c r="I22" s="13">
        <v>45222</v>
      </c>
      <c r="J22" s="2"/>
    </row>
    <row r="23" ht="13.55" customHeight="1">
      <c r="A23" t="s" s="7">
        <v>169</v>
      </c>
      <c r="B23" s="8" cm="1">
        <f t="array" ref="B23">AVERAGE(67.518,67.907)</f>
        <v>67.71250000000001</v>
      </c>
      <c r="C23" s="8" cm="1">
        <f t="array" ref="C23">B23/G23*1000000</f>
        <v>88.23625228042739</v>
      </c>
      <c r="D23" t="str" s="2" cm="1">
        <f t="array" ref="D23">IF(ISERROR(FIND("/",E23)),"No","Yes")</f>
        <v>No</v>
      </c>
      <c r="E23" t="s" s="7">
        <v>170</v>
      </c>
      <c r="F23" t="s" s="7">
        <v>12</v>
      </c>
      <c r="G23" s="10">
        <v>767400</v>
      </c>
      <c r="H23" t="s" s="7">
        <v>10</v>
      </c>
      <c r="I23" s="13">
        <v>45222</v>
      </c>
      <c r="J23" s="2"/>
    </row>
    <row r="24" ht="13.55" customHeight="1">
      <c r="A24" t="s" s="7">
        <v>171</v>
      </c>
      <c r="B24" s="8" cm="1">
        <f t="array" ref="B24">AVERAGE(68.09,68.829)</f>
        <v>68.45950000000001</v>
      </c>
      <c r="C24" s="8" cm="1">
        <f t="array" ref="C24">B24/G24*1000000</f>
        <v>94.8586670361646</v>
      </c>
      <c r="D24" t="str" s="2" cm="1">
        <f t="array" ref="D24">IF(ISERROR(FIND("/",E24)),"No","Yes")</f>
        <v>No</v>
      </c>
      <c r="E24" t="s" s="7">
        <v>172</v>
      </c>
      <c r="F24" t="s" s="7">
        <v>12</v>
      </c>
      <c r="G24" s="10">
        <v>721700</v>
      </c>
      <c r="H24" t="s" s="7">
        <v>10</v>
      </c>
      <c r="I24" s="11">
        <v>45408</v>
      </c>
      <c r="J24" s="2"/>
    </row>
    <row r="25" ht="13.55" customHeight="1">
      <c r="A25" t="s" s="7">
        <v>173</v>
      </c>
      <c r="B25" s="8" cm="1">
        <f t="array" ref="B25">AVERAGE(36.949,36.264)</f>
        <v>36.6065</v>
      </c>
      <c r="C25" s="8" cm="1">
        <f t="array" ref="C25">B25/G25*1000000</f>
        <v>103.145956607495</v>
      </c>
      <c r="D25" t="str" s="2" cm="1">
        <f t="array" ref="D25">IF(ISERROR(FIND("/",E25)),"No","Yes")</f>
        <v>No</v>
      </c>
      <c r="E25" t="s" s="7">
        <v>174</v>
      </c>
      <c r="F25" t="s" s="7">
        <v>12</v>
      </c>
      <c r="G25" s="10">
        <v>354900</v>
      </c>
      <c r="H25" t="s" s="7">
        <v>10</v>
      </c>
      <c r="I25" s="11">
        <v>45408</v>
      </c>
      <c r="J25" s="2"/>
    </row>
    <row r="26" ht="13.55" customHeight="1">
      <c r="A26" t="s" s="7">
        <v>175</v>
      </c>
      <c r="B26" s="8" cm="1">
        <f t="array" ref="B26">AVERAGE(38.923,39.599)</f>
        <v>39.261</v>
      </c>
      <c r="C26" s="8" cm="1">
        <f t="array" ref="C26">B26/G26*1000000</f>
        <v>103.509095702610</v>
      </c>
      <c r="D26" t="str" s="2" cm="1">
        <f t="array" ref="D26">IF(ISERROR(FIND("/",E26)),"No","Yes")</f>
        <v>No</v>
      </c>
      <c r="E26" t="s" s="7">
        <v>176</v>
      </c>
      <c r="F26" t="s" s="7">
        <v>12</v>
      </c>
      <c r="G26" s="10">
        <v>379300</v>
      </c>
      <c r="H26" t="s" s="7">
        <v>10</v>
      </c>
      <c r="I26" s="11">
        <v>45408</v>
      </c>
      <c r="J26" s="2"/>
    </row>
    <row r="27" ht="13.55" customHeight="1">
      <c r="A27" t="s" s="7">
        <v>177</v>
      </c>
      <c r="B27" s="8" cm="1">
        <f t="array" ref="B27">AVERAGE(34.136,34.672)</f>
        <v>34.404</v>
      </c>
      <c r="C27" s="8" cm="1">
        <f t="array" ref="C27">B27/G27*1000000</f>
        <v>100.537697253068</v>
      </c>
      <c r="D27" t="str" s="2" cm="1">
        <f t="array" ref="D27">IF(ISERROR(FIND("/",E27)),"No","Yes")</f>
        <v>No</v>
      </c>
      <c r="E27" t="s" s="7">
        <v>178</v>
      </c>
      <c r="F27" t="s" s="7">
        <v>55</v>
      </c>
      <c r="G27" s="10">
        <v>342200</v>
      </c>
      <c r="H27" t="s" s="7">
        <v>10</v>
      </c>
      <c r="I27" s="11">
        <v>45408</v>
      </c>
      <c r="J27" s="2"/>
    </row>
    <row r="28" ht="13.55" customHeight="1">
      <c r="A28" t="s" s="7">
        <v>179</v>
      </c>
      <c r="B28" s="8" cm="1">
        <f t="array" ref="B28">AVERAGE(35.457,35.249)</f>
        <v>35.353</v>
      </c>
      <c r="C28" s="8" cm="1">
        <f t="array" ref="C28">B28/G28*1000000</f>
        <v>97.41802149352441</v>
      </c>
      <c r="D28" t="str" s="2" cm="1">
        <f t="array" ref="D28">IF(ISERROR(FIND("/",E28)),"No","Yes")</f>
        <v>No</v>
      </c>
      <c r="E28" t="s" s="7">
        <v>180</v>
      </c>
      <c r="F28" t="s" s="7">
        <v>55</v>
      </c>
      <c r="G28" s="10">
        <v>362900</v>
      </c>
      <c r="H28" t="s" s="7">
        <v>10</v>
      </c>
      <c r="I28" s="11">
        <v>45408</v>
      </c>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2"/>
      <c r="J116" s="2"/>
    </row>
    <row r="117" ht="13.55" customHeight="1">
      <c r="A117" s="2"/>
      <c r="B117" s="2"/>
      <c r="C117" s="2"/>
      <c r="D117" s="2"/>
      <c r="E117" s="2"/>
      <c r="F117" s="2"/>
      <c r="G117" s="3"/>
      <c r="H117" s="2"/>
      <c r="I117" s="2"/>
      <c r="J117" s="2"/>
    </row>
    <row r="118" ht="13.55" customHeight="1">
      <c r="A118" s="2"/>
      <c r="B118" s="2"/>
      <c r="C118" s="2"/>
      <c r="D118" s="2"/>
      <c r="E118" s="2"/>
      <c r="F118" s="2"/>
      <c r="G118" s="3"/>
      <c r="H118" s="2"/>
      <c r="I118" s="2"/>
      <c r="J118" s="2"/>
    </row>
    <row r="119" ht="13.55" customHeight="1">
      <c r="A119" s="2"/>
      <c r="B119" s="2"/>
      <c r="C119" s="2"/>
      <c r="D119" s="2"/>
      <c r="E119" s="2"/>
      <c r="F119" s="2"/>
      <c r="G119" s="3"/>
      <c r="H119" s="2"/>
      <c r="I119" s="2"/>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2"/>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2"/>
      <c r="J138" s="2"/>
    </row>
    <row r="139" ht="13.55" customHeight="1">
      <c r="A139" s="2"/>
      <c r="B139" s="2"/>
      <c r="C139" s="2"/>
      <c r="D139" s="2"/>
      <c r="E139" s="2"/>
      <c r="F139" s="2"/>
      <c r="G139" s="3"/>
      <c r="H139" s="2"/>
      <c r="I139" s="2"/>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16" customWidth="1"/>
    <col min="2" max="3" width="20.6719" style="16" customWidth="1"/>
    <col min="4" max="4" width="16.6719" style="16" customWidth="1"/>
    <col min="5" max="5" width="148" style="16" customWidth="1"/>
    <col min="6" max="10" width="20.6719" style="16" customWidth="1"/>
    <col min="11" max="16384" width="20.6719" style="16"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181</v>
      </c>
      <c r="B3" s="8">
        <v>83.83799999999999</v>
      </c>
      <c r="C3" s="8" cm="1">
        <f t="array" ref="C3">B3/G3*1000000</f>
        <v>96.65436937975559</v>
      </c>
      <c r="D3" t="str" s="2" cm="1">
        <f t="array" ref="D3">IF(ISERROR(FIND("/",E3)),"No","Yes")</f>
        <v>No</v>
      </c>
      <c r="E3" t="s" s="7">
        <v>182</v>
      </c>
      <c r="F3" t="s" s="7">
        <v>36</v>
      </c>
      <c r="G3" s="10">
        <v>867400</v>
      </c>
      <c r="H3" t="s" s="7">
        <v>10</v>
      </c>
      <c r="I3" s="2"/>
      <c r="J3" s="2"/>
    </row>
    <row r="4" ht="13.55" customHeight="1">
      <c r="A4" t="s" s="7">
        <v>183</v>
      </c>
      <c r="B4" s="8">
        <v>60.374</v>
      </c>
      <c r="C4" s="8" cm="1">
        <f t="array" ref="C4">B4/G4*1000000</f>
        <v>94.0991271820449</v>
      </c>
      <c r="D4" t="str" s="2" cm="1">
        <f t="array" ref="D4">IF(ISERROR(FIND("/",E4)),"No","Yes")</f>
        <v>No</v>
      </c>
      <c r="E4" t="s" s="7">
        <v>184</v>
      </c>
      <c r="F4" t="s" s="7">
        <v>12</v>
      </c>
      <c r="G4" s="10">
        <v>641600</v>
      </c>
      <c r="H4" t="s" s="7">
        <v>10</v>
      </c>
      <c r="I4" s="2"/>
      <c r="J4" s="2"/>
    </row>
    <row r="5" ht="13.55" customHeight="1">
      <c r="A5" t="s" s="7">
        <v>185</v>
      </c>
      <c r="B5" s="8">
        <v>35.015</v>
      </c>
      <c r="C5" s="8" cm="1">
        <f t="array" ref="C5">B5/G5*1000000</f>
        <v>87.187442418689</v>
      </c>
      <c r="D5" t="str" s="2" cm="1">
        <f t="array" ref="D5">IF(ISERROR(FIND("/",E5)),"No","Yes")</f>
        <v>Yes</v>
      </c>
      <c r="E5" t="s" s="7">
        <v>186</v>
      </c>
      <c r="F5" t="s" s="7">
        <v>12</v>
      </c>
      <c r="G5" s="10">
        <v>401606</v>
      </c>
      <c r="H5" t="s" s="7">
        <v>10</v>
      </c>
      <c r="I5" s="2"/>
      <c r="J5" s="2"/>
    </row>
    <row r="6" ht="13.55" customHeight="1">
      <c r="A6" t="s" s="7">
        <v>187</v>
      </c>
      <c r="B6" s="8">
        <v>70.581</v>
      </c>
      <c r="C6" s="8" cm="1">
        <f t="array" ref="C6">B6/G6*1000000</f>
        <v>80.2056818181818</v>
      </c>
      <c r="D6" t="str" s="2" cm="1">
        <f t="array" ref="D6">IF(ISERROR(FIND("/",E6)),"No","Yes")</f>
        <v>Yes</v>
      </c>
      <c r="E6" t="s" s="7">
        <v>188</v>
      </c>
      <c r="F6" t="s" s="7">
        <v>12</v>
      </c>
      <c r="G6" s="10">
        <v>880000</v>
      </c>
      <c r="H6" t="s" s="7">
        <v>10</v>
      </c>
      <c r="I6" s="2"/>
      <c r="J6" s="2"/>
    </row>
    <row r="7" ht="13.55" customHeight="1">
      <c r="A7" t="s" s="7">
        <v>189</v>
      </c>
      <c r="B7" s="8">
        <v>49.19</v>
      </c>
      <c r="C7" s="8" cm="1">
        <f t="array" ref="C7">B7/G7*1000000</f>
        <v>106.173105978847</v>
      </c>
      <c r="D7" t="str" s="2" cm="1">
        <f t="array" ref="D7">IF(ISERROR(FIND("/",E7)),"No","Yes")</f>
        <v>Yes</v>
      </c>
      <c r="E7" t="s" s="7">
        <v>190</v>
      </c>
      <c r="F7" t="s" s="7">
        <v>12</v>
      </c>
      <c r="G7" s="10">
        <v>463300</v>
      </c>
      <c r="H7" t="s" s="7">
        <v>10</v>
      </c>
      <c r="I7" s="2"/>
      <c r="J7" s="2"/>
    </row>
    <row r="8" ht="13.55" customHeight="1">
      <c r="A8" t="s" s="7">
        <v>191</v>
      </c>
      <c r="B8" s="8">
        <v>39.463</v>
      </c>
      <c r="C8" s="8" cm="1">
        <f t="array" ref="C8">B8/G8*1000000</f>
        <v>91.4130182997452</v>
      </c>
      <c r="D8" t="str" s="2" cm="1">
        <f t="array" ref="D8">IF(ISERROR(FIND("/",E8)),"No","Yes")</f>
        <v>No</v>
      </c>
      <c r="E8" t="s" s="7">
        <v>192</v>
      </c>
      <c r="F8" t="s" s="7">
        <v>12</v>
      </c>
      <c r="G8" s="10">
        <v>431700</v>
      </c>
      <c r="H8" t="s" s="7">
        <v>10</v>
      </c>
      <c r="I8" s="2"/>
      <c r="J8" s="2"/>
    </row>
    <row r="9" ht="13.55" customHeight="1">
      <c r="A9" t="s" s="7">
        <v>193</v>
      </c>
      <c r="B9" s="8" cm="1">
        <f t="array" ref="B9">AVERAGE(61.16,62.045)</f>
        <v>61.6025</v>
      </c>
      <c r="C9" s="8" cm="1">
        <f t="array" ref="C9">B9/G9*1000000</f>
        <v>87.9407566024268</v>
      </c>
      <c r="D9" t="str" s="2" cm="1">
        <f t="array" ref="D9">IF(ISERROR(FIND("/",E9)),"No","Yes")</f>
        <v>No</v>
      </c>
      <c r="E9" t="s" s="7">
        <v>194</v>
      </c>
      <c r="F9" t="s" s="7">
        <v>12</v>
      </c>
      <c r="G9" s="10">
        <v>700500</v>
      </c>
      <c r="H9" t="s" s="7">
        <v>10</v>
      </c>
      <c r="I9" s="2"/>
      <c r="J9" s="2"/>
    </row>
    <row r="10" ht="13.55" customHeight="1">
      <c r="A10" t="s" s="7">
        <v>195</v>
      </c>
      <c r="B10" s="8">
        <v>63.016</v>
      </c>
      <c r="C10" s="8" cm="1">
        <f t="array" ref="C10">B10/G10*1000000</f>
        <v>79.3552449313688</v>
      </c>
      <c r="D10" t="str" s="2" cm="1">
        <f t="array" ref="D10">IF(ISERROR(FIND("/",E10)),"No","Yes")</f>
        <v>No</v>
      </c>
      <c r="E10" t="s" s="7">
        <v>196</v>
      </c>
      <c r="F10" t="s" s="7">
        <v>12</v>
      </c>
      <c r="G10" s="10">
        <v>794100</v>
      </c>
      <c r="H10" t="s" s="7">
        <v>10</v>
      </c>
      <c r="I10" s="2"/>
      <c r="J10" s="2"/>
    </row>
    <row r="11" ht="13.55" customHeight="1">
      <c r="A11" t="s" s="7">
        <v>197</v>
      </c>
      <c r="B11" s="8">
        <v>61.197</v>
      </c>
      <c r="C11" s="8" cm="1">
        <f t="array" ref="C11">B11/G11*1000000</f>
        <v>75.72948892463801</v>
      </c>
      <c r="D11" t="str" s="2" cm="1">
        <f t="array" ref="D11">IF(ISERROR(FIND("/",E11)),"No","Yes")</f>
        <v>No</v>
      </c>
      <c r="E11" t="s" s="7">
        <v>198</v>
      </c>
      <c r="F11" t="s" s="7">
        <v>12</v>
      </c>
      <c r="G11" s="10">
        <v>808100</v>
      </c>
      <c r="H11" t="s" s="7">
        <v>10</v>
      </c>
      <c r="I11" s="2"/>
      <c r="J11" s="2"/>
    </row>
    <row r="12" ht="13.55" customHeight="1">
      <c r="A12" t="s" s="7">
        <v>199</v>
      </c>
      <c r="B12" s="8">
        <v>63.841</v>
      </c>
      <c r="C12" s="8" cm="1">
        <f t="array" ref="C12">B12/G12*1000000</f>
        <v>77.8453847091818</v>
      </c>
      <c r="D12" t="str" s="2" cm="1">
        <f t="array" ref="D12">IF(ISERROR(FIND("/",E12)),"No","Yes")</f>
        <v>No</v>
      </c>
      <c r="E12" t="s" s="7">
        <v>200</v>
      </c>
      <c r="F12" t="s" s="7">
        <v>12</v>
      </c>
      <c r="G12" s="10">
        <v>820100</v>
      </c>
      <c r="H12" t="s" s="7">
        <v>10</v>
      </c>
      <c r="I12" s="2"/>
      <c r="J12" s="2"/>
    </row>
    <row r="13" ht="13.55" customHeight="1">
      <c r="A13" t="s" s="7">
        <v>201</v>
      </c>
      <c r="B13" s="8" cm="1">
        <f t="array" ref="B13">AVERAGE(35.677,35.388)</f>
        <v>35.5325</v>
      </c>
      <c r="C13" s="8" cm="1">
        <f t="array" ref="C13">B13/G13*1000000</f>
        <v>91.9816205022004</v>
      </c>
      <c r="D13" t="str" s="2" cm="1">
        <f t="array" ref="D13">IF(ISERROR(FIND("/",E13)),"No","Yes")</f>
        <v>No</v>
      </c>
      <c r="E13" t="s" s="7">
        <v>202</v>
      </c>
      <c r="F13" t="s" s="7">
        <v>12</v>
      </c>
      <c r="G13" s="10">
        <v>386300</v>
      </c>
      <c r="H13" t="s" s="7">
        <v>10</v>
      </c>
      <c r="I13" s="2"/>
      <c r="J13" s="2"/>
    </row>
    <row r="14" ht="13.55" customHeight="1">
      <c r="A14" t="s" s="7">
        <v>203</v>
      </c>
      <c r="B14" s="2"/>
      <c r="C14" s="8" cm="1">
        <f t="array" ref="C14">B14/G14*1000000</f>
        <v>0</v>
      </c>
      <c r="D14" t="str" s="2" cm="1">
        <f t="array" ref="D14">IF(ISERROR(FIND("/",E14)),"No","Yes")</f>
        <v>No</v>
      </c>
      <c r="E14" t="s" s="7">
        <v>204</v>
      </c>
      <c r="F14" t="s" s="7">
        <v>12</v>
      </c>
      <c r="G14" s="10">
        <v>357100</v>
      </c>
      <c r="H14" t="s" s="7">
        <v>10</v>
      </c>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17" customWidth="1"/>
    <col min="2" max="3" width="20.6719" style="17" customWidth="1"/>
    <col min="4" max="4" width="16.6719" style="17" customWidth="1"/>
    <col min="5" max="5" width="148" style="17" customWidth="1"/>
    <col min="6" max="10" width="20.6719" style="17" customWidth="1"/>
    <col min="11" max="16384" width="20.6719" style="17"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205</v>
      </c>
      <c r="B3" s="8" cm="1">
        <f t="array" ref="B3">AVERAGE(62.692,64.133)</f>
        <v>63.4125</v>
      </c>
      <c r="C3" s="8" cm="1">
        <f t="array" ref="C3">B3/G3*1000000</f>
        <v>92.1559366371167</v>
      </c>
      <c r="D3" t="str" s="2" cm="1">
        <f t="array" ref="D3">IF(ISERROR(FIND("/",E3)),"No","Yes")</f>
        <v>No</v>
      </c>
      <c r="E3" t="s" s="7">
        <v>206</v>
      </c>
      <c r="F3" t="s" s="7">
        <v>12</v>
      </c>
      <c r="G3" s="10">
        <v>688100</v>
      </c>
      <c r="H3" t="s" s="7">
        <v>10</v>
      </c>
      <c r="I3" s="2"/>
      <c r="J3" s="2"/>
    </row>
    <row r="4" ht="13.55" customHeight="1">
      <c r="A4" t="s" s="7">
        <v>207</v>
      </c>
      <c r="B4" s="8" cm="1">
        <f t="array" ref="B4">AVERAGE(36.553,36.995)</f>
        <v>36.774</v>
      </c>
      <c r="C4" s="8" cm="1">
        <f t="array" ref="C4">B4/G4*1000000</f>
        <v>101.641791044776</v>
      </c>
      <c r="D4" t="str" s="2" cm="1">
        <f t="array" ref="D4">IF(ISERROR(FIND("/",E4)),"No","Yes")</f>
        <v>No</v>
      </c>
      <c r="E4" t="s" s="7">
        <v>208</v>
      </c>
      <c r="F4" t="s" s="7">
        <v>12</v>
      </c>
      <c r="G4" s="10">
        <v>361800</v>
      </c>
      <c r="H4" t="s" s="7">
        <v>10</v>
      </c>
      <c r="I4" s="2"/>
      <c r="J4" s="2"/>
    </row>
    <row r="5" ht="13.55" customHeight="1">
      <c r="A5" t="s" s="7">
        <v>209</v>
      </c>
      <c r="B5" s="8" cm="1">
        <f t="array" ref="B5">AVERAGE(42.514,42.369)</f>
        <v>42.4415</v>
      </c>
      <c r="C5" s="8" cm="1">
        <f t="array" ref="C5">B5/G5*1000000</f>
        <v>107.094372949786</v>
      </c>
      <c r="D5" t="str" s="2" cm="1">
        <f t="array" ref="D5">IF(ISERROR(FIND("/",E5)),"No","Yes")</f>
        <v>No</v>
      </c>
      <c r="E5" t="s" s="7">
        <v>210</v>
      </c>
      <c r="F5" t="s" s="7">
        <v>12</v>
      </c>
      <c r="G5" s="10">
        <v>396300</v>
      </c>
      <c r="H5" t="s" s="7">
        <v>10</v>
      </c>
      <c r="I5" s="2"/>
      <c r="J5" s="2"/>
    </row>
    <row r="6" ht="13.55" customHeight="1">
      <c r="A6" t="s" s="7">
        <v>211</v>
      </c>
      <c r="B6" s="8" cm="1">
        <f t="array" ref="B6">AVERAGE(37.72,37.654)</f>
        <v>37.687</v>
      </c>
      <c r="C6" s="8" cm="1">
        <f t="array" ref="C6">B6/G6*1000000</f>
        <v>92.755214050494</v>
      </c>
      <c r="D6" t="str" s="2" cm="1">
        <f t="array" ref="D6">IF(ISERROR(FIND("/",E6)),"No","Yes")</f>
        <v>Yes</v>
      </c>
      <c r="E6" t="s" s="7">
        <v>212</v>
      </c>
      <c r="F6" t="s" s="7">
        <v>12</v>
      </c>
      <c r="G6" s="10">
        <v>406306</v>
      </c>
      <c r="H6" t="s" s="7">
        <v>10</v>
      </c>
      <c r="I6" s="2"/>
      <c r="J6" s="2"/>
    </row>
    <row r="7" ht="13.55" customHeight="1">
      <c r="A7" t="s" s="7">
        <v>213</v>
      </c>
      <c r="B7" s="8" cm="1">
        <f t="array" ref="B7">AVERAGE(45.026,45.069)</f>
        <v>45.0475</v>
      </c>
      <c r="C7" s="8" cm="1">
        <f t="array" ref="C7">B7/G7*1000000</f>
        <v>90.1310524209684</v>
      </c>
      <c r="D7" t="str" s="2" cm="1">
        <f t="array" ref="D7">IF(ISERROR(FIND("/",E7)),"No","Yes")</f>
        <v>Yes</v>
      </c>
      <c r="E7" t="s" s="7">
        <v>214</v>
      </c>
      <c r="F7" t="s" s="7">
        <v>12</v>
      </c>
      <c r="G7" s="10">
        <v>499800</v>
      </c>
      <c r="H7" t="s" s="7">
        <v>10</v>
      </c>
      <c r="I7" s="2"/>
      <c r="J7" s="2"/>
    </row>
    <row r="8" ht="13.55" customHeight="1">
      <c r="A8" t="s" s="7">
        <v>215</v>
      </c>
      <c r="B8" s="8" cm="1">
        <f t="array" ref="B8">AVERAGE(63.554,63.839)</f>
        <v>63.6965</v>
      </c>
      <c r="C8" s="8" cm="1">
        <f t="array" ref="C8">B8/G8*1000000</f>
        <v>86.9220796943231</v>
      </c>
      <c r="D8" t="str" s="2" cm="1">
        <f t="array" ref="D8">IF(ISERROR(FIND("/",E8)),"No","Yes")</f>
        <v>No</v>
      </c>
      <c r="E8" t="s" s="7">
        <v>216</v>
      </c>
      <c r="F8" t="s" s="7">
        <v>12</v>
      </c>
      <c r="G8" s="10">
        <v>732800</v>
      </c>
      <c r="H8" t="s" s="7">
        <v>10</v>
      </c>
      <c r="I8" s="2"/>
      <c r="J8" s="2"/>
    </row>
    <row r="9" ht="13.55" customHeight="1">
      <c r="A9" t="s" s="7">
        <v>217</v>
      </c>
      <c r="B9" t="s" s="7">
        <v>218</v>
      </c>
      <c r="C9" s="8">
        <v>100</v>
      </c>
      <c r="D9" t="str" s="2" cm="1">
        <f t="array" ref="D9">IF(ISERROR(FIND("/",E9)),"No","Yes")</f>
        <v>No</v>
      </c>
      <c r="E9" t="s" s="7">
        <v>219</v>
      </c>
      <c r="F9" t="s" s="7">
        <v>218</v>
      </c>
      <c r="G9" t="s" s="18">
        <v>218</v>
      </c>
      <c r="H9" t="s" s="7">
        <v>10</v>
      </c>
      <c r="I9" s="13">
        <v>45222</v>
      </c>
      <c r="J9" s="2"/>
    </row>
    <row r="10" ht="13.55" customHeight="1">
      <c r="A10" t="s" s="7">
        <v>220</v>
      </c>
      <c r="B10" s="8" cm="1">
        <f t="array" ref="B10">AVERAGE(25.729,26.479,25.876)</f>
        <v>26.028</v>
      </c>
      <c r="C10" s="8" cm="1">
        <f t="array" ref="C10">B10/G10*1000000</f>
        <v>100.766550522648</v>
      </c>
      <c r="D10" t="str" s="2" cm="1">
        <f t="array" ref="D10">IF(ISERROR(FIND("/",E10)),"No","Yes")</f>
        <v>No</v>
      </c>
      <c r="E10" t="s" s="7">
        <v>221</v>
      </c>
      <c r="F10" t="s" s="7">
        <v>55</v>
      </c>
      <c r="G10" s="10">
        <v>258300</v>
      </c>
      <c r="H10" t="s" s="7">
        <v>10</v>
      </c>
      <c r="I10" s="2"/>
      <c r="J10" s="2"/>
    </row>
    <row r="11" ht="13.55" customHeight="1">
      <c r="A11" t="s" s="7">
        <v>222</v>
      </c>
      <c r="B11" s="8" cm="1">
        <f t="array" ref="B11">AVERAGE(22.064,22.464)</f>
        <v>22.264</v>
      </c>
      <c r="C11" s="8" cm="1">
        <f t="array" ref="C11">B11/G11*1000000</f>
        <v>93.3109807208718</v>
      </c>
      <c r="D11" t="str" s="2" cm="1">
        <f t="array" ref="D11">IF(ISERROR(FIND("/",E11)),"No","Yes")</f>
        <v>No</v>
      </c>
      <c r="E11" t="s" s="7">
        <v>223</v>
      </c>
      <c r="F11" t="s" s="7">
        <v>55</v>
      </c>
      <c r="G11" s="10">
        <v>238600</v>
      </c>
      <c r="H11" t="s" s="7">
        <v>10</v>
      </c>
      <c r="I11" s="2"/>
      <c r="J11" s="2"/>
    </row>
    <row r="12" ht="13.55" customHeight="1">
      <c r="A12" t="s" s="7">
        <v>224</v>
      </c>
      <c r="B12" s="8" cm="1">
        <f t="array" ref="B12">AVERAGE(22.7,21.627)</f>
        <v>22.1635</v>
      </c>
      <c r="C12" s="8" cm="1">
        <f t="array" ref="C12">B12/G12*1000000</f>
        <v>103.182029795158</v>
      </c>
      <c r="D12" t="str" s="2" cm="1">
        <f t="array" ref="D12">IF(ISERROR(FIND("/",E12)),"No","Yes")</f>
        <v>No</v>
      </c>
      <c r="E12" t="s" s="7">
        <v>225</v>
      </c>
      <c r="F12" t="s" s="7">
        <v>55</v>
      </c>
      <c r="G12" s="10">
        <v>214800</v>
      </c>
      <c r="H12" t="s" s="7">
        <v>10</v>
      </c>
      <c r="I12" s="2"/>
      <c r="J12" s="2"/>
    </row>
    <row r="13" ht="13.55" customHeight="1">
      <c r="A13" t="s" s="7">
        <v>226</v>
      </c>
      <c r="B13" s="8" cm="1">
        <f t="array" ref="B13">AVERAGE(21.5,21.57)</f>
        <v>21.535</v>
      </c>
      <c r="C13" s="8" cm="1">
        <f t="array" ref="C13">B13/G13*1000000</f>
        <v>109.481443823081</v>
      </c>
      <c r="D13" t="str" s="2" cm="1">
        <f t="array" ref="D13">IF(ISERROR(FIND("/",E13)),"No","Yes")</f>
        <v>No</v>
      </c>
      <c r="E13" t="s" s="7">
        <v>227</v>
      </c>
      <c r="F13" t="s" s="7">
        <v>55</v>
      </c>
      <c r="G13" s="10">
        <v>196700</v>
      </c>
      <c r="H13" t="s" s="7">
        <v>10</v>
      </c>
      <c r="I13" s="2"/>
      <c r="J13" s="2"/>
    </row>
    <row r="14" ht="13.55" customHeight="1">
      <c r="A14" t="s" s="7">
        <v>228</v>
      </c>
      <c r="B14" s="8" cm="1">
        <f t="array" ref="B14">AVERAGE(54.052,51.423,51.486)</f>
        <v>52.3203333333333</v>
      </c>
      <c r="C14" s="8" cm="1">
        <f t="array" ref="C14">B14/G14*1000000</f>
        <v>97.01526670375171</v>
      </c>
      <c r="D14" t="str" s="2" cm="1">
        <f t="array" ref="D14">IF(ISERROR(FIND("/",E14)),"No","Yes")</f>
        <v>No</v>
      </c>
      <c r="E14" t="s" s="7">
        <v>229</v>
      </c>
      <c r="F14" t="s" s="7">
        <v>55</v>
      </c>
      <c r="G14" s="10">
        <v>539300</v>
      </c>
      <c r="H14" t="s" s="7">
        <v>10</v>
      </c>
      <c r="I14" s="2"/>
      <c r="J14" s="2"/>
    </row>
    <row r="15" ht="13.55" customHeight="1">
      <c r="A15" t="s" s="7">
        <v>230</v>
      </c>
      <c r="B15" s="8" cm="1">
        <f t="array" ref="B15">AVERAGE(48.899,48.727)</f>
        <v>48.813</v>
      </c>
      <c r="C15" s="8" cm="1">
        <f t="array" ref="C15">B15/G15*1000000</f>
        <v>92.871004566210</v>
      </c>
      <c r="D15" t="str" s="2" cm="1">
        <f t="array" ref="D15">IF(ISERROR(FIND("/",E15)),"No","Yes")</f>
        <v>No</v>
      </c>
      <c r="E15" t="s" s="7">
        <v>231</v>
      </c>
      <c r="F15" t="s" s="7">
        <v>55</v>
      </c>
      <c r="G15" s="10">
        <v>525600</v>
      </c>
      <c r="H15" t="s" s="7">
        <v>10</v>
      </c>
      <c r="I15" s="2"/>
      <c r="J15" s="2"/>
    </row>
    <row r="16" ht="13.55" customHeight="1">
      <c r="A16" t="s" s="7">
        <v>232</v>
      </c>
      <c r="B16" s="8" cm="1">
        <f t="array" ref="B16">AVERAGE(46.891,46.236)</f>
        <v>46.5635</v>
      </c>
      <c r="C16" s="8" cm="1">
        <f t="array" ref="C16">B16/G16*1000000</f>
        <v>91.3726452119309</v>
      </c>
      <c r="D16" t="str" s="2" cm="1">
        <f t="array" ref="D16">IF(ISERROR(FIND("/",E16)),"No","Yes")</f>
        <v>No</v>
      </c>
      <c r="E16" t="s" s="7">
        <v>233</v>
      </c>
      <c r="F16" t="s" s="7">
        <v>55</v>
      </c>
      <c r="G16" s="10">
        <v>509600</v>
      </c>
      <c r="H16" t="s" s="7">
        <v>10</v>
      </c>
      <c r="I16" s="2"/>
      <c r="J16" s="2"/>
    </row>
    <row r="17" ht="13.55" customHeight="1">
      <c r="A17" t="s" s="7">
        <v>234</v>
      </c>
      <c r="B17" s="8" cm="1">
        <f t="array" ref="B17">AVERAGE(47.367,46.749)</f>
        <v>47.058</v>
      </c>
      <c r="C17" s="8" cm="1">
        <f t="array" ref="C17">B17/G17*1000000</f>
        <v>95.39428339752691</v>
      </c>
      <c r="D17" t="str" s="2" cm="1">
        <f t="array" ref="D17">IF(ISERROR(FIND("/",E17)),"No","Yes")</f>
        <v>No</v>
      </c>
      <c r="E17" t="s" s="7">
        <v>235</v>
      </c>
      <c r="F17" t="s" s="7">
        <v>55</v>
      </c>
      <c r="G17" s="10">
        <v>493300</v>
      </c>
      <c r="H17" t="s" s="7">
        <v>10</v>
      </c>
      <c r="I17" s="2"/>
      <c r="J17" s="2"/>
    </row>
    <row r="18" ht="13.55" customHeight="1">
      <c r="A18" t="s" s="7">
        <v>236</v>
      </c>
      <c r="B18" s="8" cm="1">
        <f t="array" ref="B18">AVERAGE(16.063,15.978)</f>
        <v>16.0205</v>
      </c>
      <c r="C18" s="8" cm="1">
        <f t="array" ref="C18">B18/G18*1000000</f>
        <v>101.075709779180</v>
      </c>
      <c r="D18" t="str" s="2" cm="1">
        <f t="array" ref="D18">IF(ISERROR(FIND("/",E18)),"No","Yes")</f>
        <v>No</v>
      </c>
      <c r="E18" t="s" s="7">
        <v>237</v>
      </c>
      <c r="F18" t="s" s="7">
        <v>55</v>
      </c>
      <c r="G18" s="10">
        <v>158500</v>
      </c>
      <c r="H18" t="s" s="7">
        <v>10</v>
      </c>
      <c r="I18" s="2"/>
      <c r="J18" s="2"/>
    </row>
    <row r="19" ht="13.55" customHeight="1">
      <c r="A19" t="s" s="7">
        <v>238</v>
      </c>
      <c r="B19" s="8" cm="1">
        <f t="array" ref="B19">AVERAGE(73.383,74.427)</f>
        <v>73.905</v>
      </c>
      <c r="C19" s="8" cm="1">
        <f t="array" ref="C19">B19/G19*1000000</f>
        <v>79.9837662337662</v>
      </c>
      <c r="D19" t="str" s="2" cm="1">
        <f t="array" ref="D19">IF(ISERROR(FIND("/",E19)),"No","Yes")</f>
        <v>Yes</v>
      </c>
      <c r="E19" t="s" s="7">
        <v>239</v>
      </c>
      <c r="F19" t="s" s="7">
        <v>36</v>
      </c>
      <c r="G19" s="10">
        <v>924000</v>
      </c>
      <c r="H19" t="s" s="7">
        <v>10</v>
      </c>
      <c r="I19" s="11">
        <v>45776</v>
      </c>
      <c r="J19" s="2"/>
    </row>
    <row r="20" ht="13.55" customHeight="1">
      <c r="A20" t="s" s="7">
        <v>240</v>
      </c>
      <c r="B20" s="8" cm="1">
        <f t="array" ref="B20">AVERAGE(80.923,81.275)</f>
        <v>81.099</v>
      </c>
      <c r="C20" s="8" cm="1">
        <f t="array" ref="C20">B20/G20*1000000</f>
        <v>80.192821121329</v>
      </c>
      <c r="D20" t="str" s="2" cm="1">
        <f t="array" ref="D20">IF(ISERROR(FIND("/",E20)),"No","Yes")</f>
        <v>Yes</v>
      </c>
      <c r="E20" t="s" s="7">
        <v>241</v>
      </c>
      <c r="F20" t="s" s="7">
        <v>55</v>
      </c>
      <c r="G20" s="10">
        <v>1011300</v>
      </c>
      <c r="H20" t="s" s="7">
        <v>10</v>
      </c>
      <c r="I20" s="11">
        <v>45566</v>
      </c>
      <c r="J20" s="2"/>
    </row>
    <row r="21" ht="13.55" customHeight="1">
      <c r="A21" t="s" s="7">
        <v>242</v>
      </c>
      <c r="B21" s="8" cm="1">
        <f t="array" ref="B21">AVERAGE(69.879,68.809)</f>
        <v>69.34399999999999</v>
      </c>
      <c r="C21" s="8" cm="1">
        <f t="array" ref="C21">B21/G21*1000000</f>
        <v>87.88846641318121</v>
      </c>
      <c r="D21" t="str" s="2" cm="1">
        <f t="array" ref="D21">IF(ISERROR(FIND("/",E21)),"No","Yes")</f>
        <v>Yes</v>
      </c>
      <c r="E21" t="s" s="7">
        <v>243</v>
      </c>
      <c r="F21" t="s" s="7">
        <v>12</v>
      </c>
      <c r="G21" s="10">
        <v>789000</v>
      </c>
      <c r="H21" t="s" s="7">
        <v>10</v>
      </c>
      <c r="I21" s="11">
        <v>45706</v>
      </c>
      <c r="J21" s="2"/>
    </row>
    <row r="22" ht="13.55" customHeight="1">
      <c r="A22" t="s" s="7">
        <v>244</v>
      </c>
      <c r="B22" s="8" cm="1">
        <f t="array" ref="B22">AVERAGE(76.281,75.512)</f>
        <v>75.8965</v>
      </c>
      <c r="C22" s="8" cm="1">
        <f t="array" ref="C22">B22/G22*1000000</f>
        <v>83.5588461961907</v>
      </c>
      <c r="D22" t="str" s="2" cm="1">
        <f t="array" ref="D22">IF(ISERROR(FIND("/",E22)),"No","Yes")</f>
        <v>Yes</v>
      </c>
      <c r="E22" t="s" s="7">
        <v>245</v>
      </c>
      <c r="F22" t="s" s="7">
        <v>36</v>
      </c>
      <c r="G22" s="10">
        <v>908300</v>
      </c>
      <c r="H22" t="s" s="7">
        <v>10</v>
      </c>
      <c r="I22" s="11">
        <v>45706</v>
      </c>
      <c r="J22" s="2"/>
    </row>
    <row r="23" ht="13.55" customHeight="1">
      <c r="A23" t="s" s="7">
        <v>246</v>
      </c>
      <c r="B23" s="8" cm="1">
        <f t="array" ref="B23">AVERAGE(51.533,52.996)</f>
        <v>52.2645</v>
      </c>
      <c r="C23" s="8" cm="1">
        <f t="array" ref="C23">B23/G23*1000000</f>
        <v>92.9973309608541</v>
      </c>
      <c r="D23" t="str" s="2" cm="1">
        <f t="array" ref="D23">IF(ISERROR(FIND("/",E23)),"No","Yes")</f>
        <v>Yes</v>
      </c>
      <c r="E23" t="s" s="7">
        <v>247</v>
      </c>
      <c r="F23" t="s" s="7">
        <v>55</v>
      </c>
      <c r="G23" s="10">
        <v>562000</v>
      </c>
      <c r="H23" t="s" s="7">
        <v>10</v>
      </c>
      <c r="I23" s="11">
        <v>45706</v>
      </c>
      <c r="J23" s="2"/>
    </row>
    <row r="24" ht="13.55" customHeight="1">
      <c r="A24" t="s" s="7">
        <v>248</v>
      </c>
      <c r="B24" s="8" cm="1">
        <f t="array" ref="B24">AVERAGE(49.437,51.741,50.524)</f>
        <v>50.5673333333333</v>
      </c>
      <c r="C24" s="8" cm="1">
        <f t="array" ref="C24">B24/G24*1000000</f>
        <v>89.97746144721231</v>
      </c>
      <c r="D24" t="str" s="2" cm="1">
        <f t="array" ref="D24">IF(ISERROR(FIND("/",E24)),"No","Yes")</f>
        <v>Yes</v>
      </c>
      <c r="E24" t="s" s="7">
        <v>247</v>
      </c>
      <c r="F24" t="s" s="7">
        <v>12</v>
      </c>
      <c r="G24" s="10">
        <v>562000</v>
      </c>
      <c r="H24" t="s" s="7">
        <v>10</v>
      </c>
      <c r="I24" s="11">
        <v>45727</v>
      </c>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19" customWidth="1"/>
    <col min="2" max="3" width="20.6719" style="19" customWidth="1"/>
    <col min="4" max="4" width="16.6719" style="19" customWidth="1"/>
    <col min="5" max="5" width="148" style="19" customWidth="1"/>
    <col min="6" max="10" width="20.6719" style="19" customWidth="1"/>
    <col min="11" max="16384" width="20.6719" style="19"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249</v>
      </c>
      <c r="B3" s="8" cm="1">
        <f t="array" ref="B3">AVERAGE(64.125,65.804)</f>
        <v>64.9645</v>
      </c>
      <c r="C3" s="8" cm="1">
        <f t="array" ref="C3">B3/G3*1000000</f>
        <v>85.6035050731322</v>
      </c>
      <c r="D3" t="str" s="2" cm="1">
        <f t="array" ref="D3">IF(ISERROR(FIND("/",E3)),"No","Yes")</f>
        <v>No</v>
      </c>
      <c r="E3" t="s" s="7">
        <v>250</v>
      </c>
      <c r="F3" t="s" s="7">
        <v>12</v>
      </c>
      <c r="G3" s="10">
        <v>758900</v>
      </c>
      <c r="H3" t="s" s="7">
        <v>10</v>
      </c>
      <c r="I3" s="2"/>
      <c r="J3" s="2"/>
    </row>
    <row r="4" ht="13.55" customHeight="1">
      <c r="A4" t="s" s="7">
        <v>251</v>
      </c>
      <c r="B4" s="8" cm="1">
        <f t="array" ref="B4">AVERAGE(61.78,62.276)</f>
        <v>62.028</v>
      </c>
      <c r="C4" s="8" cm="1">
        <f t="array" ref="C4">B4/G4*1000000</f>
        <v>88.8907996560619</v>
      </c>
      <c r="D4" t="str" s="2" cm="1">
        <f t="array" ref="D4">IF(ISERROR(FIND("/",E4)),"No","Yes")</f>
        <v>No</v>
      </c>
      <c r="E4" t="s" s="7">
        <v>252</v>
      </c>
      <c r="F4" t="s" s="7">
        <v>12</v>
      </c>
      <c r="G4" s="10">
        <v>697800</v>
      </c>
      <c r="H4" t="s" s="7">
        <v>10</v>
      </c>
      <c r="I4" s="2"/>
      <c r="J4" s="2"/>
    </row>
    <row r="5" ht="13.55" customHeight="1">
      <c r="A5" t="s" s="7">
        <v>253</v>
      </c>
      <c r="B5" s="8" cm="1">
        <f t="array" ref="B5">AVERAGE(46.352,46.599)</f>
        <v>46.4755</v>
      </c>
      <c r="C5" s="8" cm="1">
        <f t="array" ref="C5">B5/G5*1000000</f>
        <v>85.59023941068141</v>
      </c>
      <c r="D5" t="str" s="2" cm="1">
        <f t="array" ref="D5">IF(ISERROR(FIND("/",E5)),"No","Yes")</f>
        <v>No</v>
      </c>
      <c r="E5" t="s" s="7">
        <v>254</v>
      </c>
      <c r="F5" t="s" s="7">
        <v>12</v>
      </c>
      <c r="G5" s="10">
        <v>543000</v>
      </c>
      <c r="H5" t="s" s="7">
        <v>10</v>
      </c>
      <c r="I5" s="2"/>
      <c r="J5" s="2"/>
    </row>
    <row r="6" ht="13.55" customHeight="1">
      <c r="A6" t="s" s="7">
        <v>255</v>
      </c>
      <c r="B6" s="8" cm="1">
        <f t="array" ref="B6">AVERAGE(48.798,49.125,49.478)</f>
        <v>49.1336666666667</v>
      </c>
      <c r="C6" s="8" cm="1">
        <f t="array" ref="C6">B6/G6*1000000</f>
        <v>88.83324293376729</v>
      </c>
      <c r="D6" t="str" s="2" cm="1">
        <f t="array" ref="D6">IF(ISERROR(FIND("/",E6)),"No","Yes")</f>
        <v>No</v>
      </c>
      <c r="E6" t="s" s="7">
        <v>256</v>
      </c>
      <c r="F6" t="s" s="7">
        <v>12</v>
      </c>
      <c r="G6" s="10">
        <v>553100</v>
      </c>
      <c r="H6" t="s" s="7">
        <v>10</v>
      </c>
      <c r="I6" s="2"/>
      <c r="J6" s="2"/>
    </row>
    <row r="7" ht="13.55" customHeight="1">
      <c r="A7" t="s" s="7">
        <v>257</v>
      </c>
      <c r="B7" s="8" cm="1">
        <f t="array" ref="B7">AVERAGE(49.76,49.982)</f>
        <v>49.871</v>
      </c>
      <c r="C7" s="8" cm="1">
        <f t="array" ref="C7">B7/G7*1000000</f>
        <v>88.8649322879544</v>
      </c>
      <c r="D7" t="str" s="2" cm="1">
        <f t="array" ref="D7">IF(ISERROR(FIND("/",E7)),"No","Yes")</f>
        <v>No</v>
      </c>
      <c r="E7" t="s" s="7">
        <v>258</v>
      </c>
      <c r="F7" t="s" s="7">
        <v>12</v>
      </c>
      <c r="G7" s="10">
        <v>561200</v>
      </c>
      <c r="H7" t="s" s="7">
        <v>10</v>
      </c>
      <c r="I7" s="2"/>
      <c r="J7" s="2"/>
    </row>
    <row r="8" ht="13.55" customHeight="1">
      <c r="A8" t="s" s="7">
        <v>259</v>
      </c>
      <c r="B8" s="8" cm="1">
        <f t="array" ref="B8">AVERAGE(66.096,65.987,65.688,65.863)</f>
        <v>65.9085</v>
      </c>
      <c r="C8" s="8" cm="1">
        <f t="array" ref="C8">B8/G8*1000000</f>
        <v>86.7217105263158</v>
      </c>
      <c r="D8" t="str" s="2" cm="1">
        <f t="array" ref="D8">IF(ISERROR(FIND("/",E8)),"No","Yes")</f>
        <v>No</v>
      </c>
      <c r="E8" t="s" s="7">
        <v>260</v>
      </c>
      <c r="F8" t="s" s="7">
        <v>12</v>
      </c>
      <c r="G8" s="10">
        <v>760000</v>
      </c>
      <c r="H8" t="s" s="7">
        <v>10</v>
      </c>
      <c r="I8" s="2"/>
      <c r="J8" s="2"/>
    </row>
    <row r="9" ht="13.55" customHeight="1">
      <c r="A9" t="s" s="7">
        <v>261</v>
      </c>
      <c r="B9" s="8" cm="1">
        <f t="array" ref="B9">AVERAGE(29.371,29.463)</f>
        <v>29.417</v>
      </c>
      <c r="C9" s="8" cm="1">
        <f t="array" ref="C9">B9/G9*1000000</f>
        <v>92.9153506001263</v>
      </c>
      <c r="D9" t="str" s="2" cm="1">
        <f t="array" ref="D9">IF(ISERROR(FIND("/",E9)),"No","Yes")</f>
        <v>No</v>
      </c>
      <c r="E9" t="s" s="7">
        <v>262</v>
      </c>
      <c r="F9" t="s" s="7">
        <v>12</v>
      </c>
      <c r="G9" s="10">
        <v>316600</v>
      </c>
      <c r="H9" t="s" s="7">
        <v>10</v>
      </c>
      <c r="I9" s="2"/>
      <c r="J9" s="2"/>
    </row>
    <row r="10" ht="13.55" customHeight="1">
      <c r="A10" t="s" s="7">
        <v>263</v>
      </c>
      <c r="B10" s="8" cm="1">
        <f t="array" ref="B10">AVERAGE(34.098,33.869)</f>
        <v>33.9835</v>
      </c>
      <c r="C10" s="8" cm="1">
        <f t="array" ref="C10">B10/G10*1000000</f>
        <v>102.669184290030</v>
      </c>
      <c r="D10" t="str" s="2" cm="1">
        <f t="array" ref="D10">IF(ISERROR(FIND("/",E10)),"No","Yes")</f>
        <v>No</v>
      </c>
      <c r="E10" t="s" s="7">
        <v>264</v>
      </c>
      <c r="F10" t="s" s="7">
        <v>12</v>
      </c>
      <c r="G10" s="10">
        <v>331000</v>
      </c>
      <c r="H10" t="s" s="7">
        <v>10</v>
      </c>
      <c r="I10" s="2"/>
      <c r="J10" s="2"/>
    </row>
    <row r="11" ht="13.55" customHeight="1">
      <c r="A11" t="s" s="7">
        <v>265</v>
      </c>
      <c r="B11" s="8" cm="1">
        <f t="array" ref="B11">AVERAGE(36.12,35.572)</f>
        <v>35.846</v>
      </c>
      <c r="C11" s="8" cm="1">
        <f t="array" ref="C11">B11/G11*1000000</f>
        <v>99.2672511672473</v>
      </c>
      <c r="D11" t="str" s="2" cm="1">
        <f t="array" ref="D11">IF(ISERROR(FIND("/",E11)),"No","Yes")</f>
        <v>Yes</v>
      </c>
      <c r="E11" t="s" s="7">
        <v>266</v>
      </c>
      <c r="F11" t="s" s="7">
        <v>12</v>
      </c>
      <c r="G11" s="10">
        <v>361106</v>
      </c>
      <c r="H11" t="s" s="7">
        <v>10</v>
      </c>
      <c r="I11" s="2"/>
      <c r="J11" s="2"/>
    </row>
    <row r="12" ht="13.55" customHeight="1">
      <c r="A12" t="s" s="7">
        <v>267</v>
      </c>
      <c r="B12" s="8" cm="1">
        <f t="array" ref="B12">AVERAGE(53.52,52.43,52.243)</f>
        <v>52.731</v>
      </c>
      <c r="C12" s="8" cm="1">
        <f t="array" ref="C12">B12/G12*1000000</f>
        <v>91.041091160221</v>
      </c>
      <c r="D12" t="str" s="2" cm="1">
        <f t="array" ref="D12">IF(ISERROR(FIND("/",E12)),"No","Yes")</f>
        <v>Yes</v>
      </c>
      <c r="E12" t="s" s="7">
        <v>268</v>
      </c>
      <c r="F12" t="s" s="7">
        <v>12</v>
      </c>
      <c r="G12" s="10">
        <v>579200</v>
      </c>
      <c r="H12" t="s" s="7">
        <v>10</v>
      </c>
      <c r="I12" s="2"/>
      <c r="J12" s="2"/>
    </row>
    <row r="13" ht="13.55" customHeight="1">
      <c r="A13" t="s" s="7">
        <v>269</v>
      </c>
      <c r="B13" s="8" cm="1">
        <f t="array" ref="B13">AVERAGE(87.588,86.911)</f>
        <v>87.2495</v>
      </c>
      <c r="C13" s="8" cm="1">
        <f t="array" ref="C13">B13/G13*1000000</f>
        <v>138.227978453739</v>
      </c>
      <c r="D13" t="str" s="2" cm="1">
        <f t="array" ref="D13">IF(ISERROR(FIND("/",E13)),"No","Yes")</f>
        <v>Yes</v>
      </c>
      <c r="E13" t="s" s="7">
        <v>270</v>
      </c>
      <c r="F13" t="s" s="7">
        <v>36</v>
      </c>
      <c r="G13" s="10">
        <v>631200</v>
      </c>
      <c r="H13" t="s" s="7">
        <v>10</v>
      </c>
      <c r="I13" s="11">
        <v>45566</v>
      </c>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20" customWidth="1"/>
    <col min="2" max="3" width="20.6719" style="20" customWidth="1"/>
    <col min="4" max="4" width="16.6719" style="20" customWidth="1"/>
    <col min="5" max="5" width="148" style="20" customWidth="1"/>
    <col min="6" max="10" width="20.6719" style="20" customWidth="1"/>
    <col min="11" max="16384" width="20.6719" style="20"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271</v>
      </c>
      <c r="B3" s="8" cm="1">
        <f t="array" ref="B3">AVERAGE(58.463,60.377,58.466)</f>
        <v>59.102</v>
      </c>
      <c r="C3" s="8" cm="1">
        <f t="array" ref="C3">B3/G3*1000000</f>
        <v>86.78707782672539</v>
      </c>
      <c r="D3" t="str" s="2" cm="1">
        <f t="array" ref="D3">IF(ISERROR(FIND("/",E3)),"No","Yes")</f>
        <v>No</v>
      </c>
      <c r="E3" t="s" s="7">
        <v>272</v>
      </c>
      <c r="F3" t="s" s="7">
        <v>12</v>
      </c>
      <c r="G3" s="10">
        <v>681000</v>
      </c>
      <c r="H3" t="s" s="7">
        <v>10</v>
      </c>
      <c r="I3" s="2"/>
      <c r="J3" s="2"/>
    </row>
    <row r="4" ht="13.55" customHeight="1">
      <c r="A4" t="s" s="7">
        <v>273</v>
      </c>
      <c r="B4" s="8" cm="1">
        <f t="array" ref="B4">AVERAGE(76.684,76.236)</f>
        <v>76.45999999999999</v>
      </c>
      <c r="C4" s="8" cm="1">
        <f t="array" ref="C4">B4/G4*1000000</f>
        <v>82.59695365669219</v>
      </c>
      <c r="D4" t="str" s="2" cm="1">
        <f t="array" ref="D4">IF(ISERROR(FIND("/",E4)),"No","Yes")</f>
        <v>No</v>
      </c>
      <c r="E4" t="s" s="7">
        <v>274</v>
      </c>
      <c r="F4" t="s" s="7">
        <v>12</v>
      </c>
      <c r="G4" s="10">
        <v>925700</v>
      </c>
      <c r="H4" t="s" s="7">
        <v>10</v>
      </c>
      <c r="I4" s="2"/>
      <c r="J4" s="2"/>
    </row>
    <row r="5" ht="13.55" customHeight="1">
      <c r="A5" t="s" s="7">
        <v>275</v>
      </c>
      <c r="B5" s="8" cm="1">
        <f t="array" ref="B5">AVERAGE(34.063,33.687)</f>
        <v>33.875</v>
      </c>
      <c r="C5" s="8" cm="1">
        <f t="array" ref="C5">B5/G5*1000000</f>
        <v>92.0766512639304</v>
      </c>
      <c r="D5" t="str" s="2" cm="1">
        <f t="array" ref="D5">IF(ISERROR(FIND("/",E5)),"No","Yes")</f>
        <v>No</v>
      </c>
      <c r="E5" t="s" s="7">
        <v>276</v>
      </c>
      <c r="F5" t="s" s="7">
        <v>12</v>
      </c>
      <c r="G5" s="10">
        <v>367900</v>
      </c>
      <c r="H5" t="s" s="7">
        <v>10</v>
      </c>
      <c r="I5" s="2"/>
      <c r="J5" s="2"/>
    </row>
    <row r="6" ht="13.55" customHeight="1">
      <c r="A6" t="s" s="7">
        <v>277</v>
      </c>
      <c r="B6" s="8" cm="1">
        <f t="array" ref="B6">AVERAGE(37.663,37.432)</f>
        <v>37.5475</v>
      </c>
      <c r="C6" s="8" cm="1">
        <f t="array" ref="C6">B6/G6*1000000</f>
        <v>96.0294117647059</v>
      </c>
      <c r="D6" t="str" s="2" cm="1">
        <f t="array" ref="D6">IF(ISERROR(FIND("/",E6)),"No","Yes")</f>
        <v>No</v>
      </c>
      <c r="E6" t="s" s="7">
        <v>278</v>
      </c>
      <c r="F6" t="s" s="7">
        <v>12</v>
      </c>
      <c r="G6" s="10">
        <v>391000</v>
      </c>
      <c r="H6" t="s" s="7">
        <v>10</v>
      </c>
      <c r="I6" s="2"/>
      <c r="J6" s="2"/>
    </row>
    <row r="7" ht="13.55" customHeight="1">
      <c r="A7" t="s" s="7">
        <v>279</v>
      </c>
      <c r="B7" s="8">
        <v>28.881</v>
      </c>
      <c r="C7" s="8" cm="1">
        <f t="array" ref="C7">B7/G7*1000000</f>
        <v>85.47203314590119</v>
      </c>
      <c r="D7" t="str" s="2" cm="1">
        <f t="array" ref="D7">IF(ISERROR(FIND("/",E7)),"No","Yes")</f>
        <v>No</v>
      </c>
      <c r="E7" t="s" s="7">
        <v>280</v>
      </c>
      <c r="F7" t="s" s="7">
        <v>55</v>
      </c>
      <c r="G7" s="10">
        <v>337900</v>
      </c>
      <c r="H7" t="s" s="7">
        <v>10</v>
      </c>
      <c r="I7" s="2"/>
      <c r="J7" s="2"/>
    </row>
    <row r="8" ht="13.55" customHeight="1">
      <c r="A8" s="2"/>
      <c r="B8" s="2"/>
      <c r="C8" s="2"/>
      <c r="D8" s="2"/>
      <c r="E8" s="2"/>
      <c r="F8" s="2"/>
      <c r="G8" s="3"/>
      <c r="H8" s="2"/>
      <c r="I8" s="2"/>
      <c r="J8" s="2"/>
    </row>
    <row r="9" ht="13.55" customHeight="1">
      <c r="A9" s="2"/>
      <c r="B9" s="2"/>
      <c r="C9" s="2"/>
      <c r="D9" s="2"/>
      <c r="E9" s="2"/>
      <c r="F9" s="2"/>
      <c r="G9" s="3"/>
      <c r="H9" s="2"/>
      <c r="I9" s="2"/>
      <c r="J9" s="2"/>
    </row>
    <row r="10" ht="13.55" customHeight="1">
      <c r="A10" s="2"/>
      <c r="B10" s="2"/>
      <c r="C10" s="2"/>
      <c r="D10" s="2"/>
      <c r="E10" s="2"/>
      <c r="F10" s="2"/>
      <c r="G10" s="3"/>
      <c r="H10" s="2"/>
      <c r="I10" s="2"/>
      <c r="J10" s="2"/>
    </row>
    <row r="11" ht="13.55" customHeight="1">
      <c r="A11" s="2"/>
      <c r="B11" s="2"/>
      <c r="C11" s="2"/>
      <c r="D11" s="2"/>
      <c r="E11" s="2"/>
      <c r="F11" s="2"/>
      <c r="G11" s="3"/>
      <c r="H11" s="2"/>
      <c r="I11" s="2"/>
      <c r="J11" s="2"/>
    </row>
    <row r="12" ht="13.55" customHeight="1">
      <c r="A12" s="2"/>
      <c r="B12" s="2"/>
      <c r="C12" s="2"/>
      <c r="D12" s="2"/>
      <c r="E12" s="2"/>
      <c r="F12" s="2"/>
      <c r="G12" s="3"/>
      <c r="H12" s="2"/>
      <c r="I12" s="2"/>
      <c r="J12" s="2"/>
    </row>
    <row r="13" ht="13.55" customHeight="1">
      <c r="A13" s="2"/>
      <c r="B13" s="2"/>
      <c r="C13" s="2"/>
      <c r="D13" s="2"/>
      <c r="E13" s="2"/>
      <c r="F13" s="2"/>
      <c r="G13" s="3"/>
      <c r="H13" s="2"/>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21" customWidth="1"/>
    <col min="2" max="3" width="20.6719" style="21" customWidth="1"/>
    <col min="4" max="4" width="16.6719" style="21" customWidth="1"/>
    <col min="5" max="5" width="148" style="21" customWidth="1"/>
    <col min="6" max="10" width="20.6719" style="21" customWidth="1"/>
    <col min="11" max="16384" width="20.6719" style="21"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281</v>
      </c>
      <c r="B3" s="8" cm="1">
        <f t="array" ref="B3">AVERAGE(61.957,63.302)</f>
        <v>62.6295</v>
      </c>
      <c r="C3" s="8" cm="1">
        <f t="array" ref="C3">B3/G3*1000000</f>
        <v>85.5360557224802</v>
      </c>
      <c r="D3" t="str" s="2" cm="1">
        <f t="array" ref="D3">IF(ISERROR(FIND("/",E3)),"No","Yes")</f>
        <v>No</v>
      </c>
      <c r="E3" t="s" s="7">
        <v>282</v>
      </c>
      <c r="F3" t="s" s="7">
        <v>12</v>
      </c>
      <c r="G3" s="10">
        <v>732200</v>
      </c>
      <c r="H3" t="s" s="7">
        <v>10</v>
      </c>
      <c r="I3" s="2"/>
      <c r="J3" s="2"/>
    </row>
    <row r="4" ht="13.55" customHeight="1">
      <c r="A4" t="s" s="7">
        <v>283</v>
      </c>
      <c r="B4" s="8" cm="1">
        <f t="array" ref="B4">AVERAGE(31.71,31.942)</f>
        <v>31.826</v>
      </c>
      <c r="C4" s="8" cm="1">
        <f t="array" ref="C4">B4/G4*1000000</f>
        <v>98.04682686383239</v>
      </c>
      <c r="D4" t="str" s="2" cm="1">
        <f t="array" ref="D4">IF(ISERROR(FIND("/",E4)),"No","Yes")</f>
        <v>No</v>
      </c>
      <c r="E4" t="s" s="7">
        <v>284</v>
      </c>
      <c r="F4" t="s" s="7">
        <v>12</v>
      </c>
      <c r="G4" s="10">
        <v>324600</v>
      </c>
      <c r="H4" t="s" s="7">
        <v>10</v>
      </c>
      <c r="I4" s="2"/>
      <c r="J4" s="2"/>
    </row>
    <row r="5" ht="13.55" customHeight="1">
      <c r="A5" t="s" s="7">
        <v>285</v>
      </c>
      <c r="B5" s="8" cm="1">
        <f t="array" ref="B5">AVERAGE(42.582,43.561)</f>
        <v>43.0715</v>
      </c>
      <c r="C5" s="8" cm="1">
        <f t="array" ref="C5">B5/G5*1000000</f>
        <v>114.460536805740</v>
      </c>
      <c r="D5" t="str" s="2" cm="1">
        <f t="array" ref="D5">IF(ISERROR(FIND("/",E5)),"No","Yes")</f>
        <v>No</v>
      </c>
      <c r="E5" t="s" s="7">
        <v>286</v>
      </c>
      <c r="F5" t="s" s="7">
        <v>12</v>
      </c>
      <c r="G5" s="10">
        <v>376300</v>
      </c>
      <c r="H5" t="s" s="7">
        <v>10</v>
      </c>
      <c r="I5" s="2"/>
      <c r="J5" s="2"/>
    </row>
    <row r="6" ht="13.55" customHeight="1">
      <c r="A6" t="s" s="7">
        <v>287</v>
      </c>
      <c r="B6" s="8" cm="1">
        <f t="array" ref="B6">AVERAGE(35.15,35.134)</f>
        <v>35.142</v>
      </c>
      <c r="C6" s="8" cm="1">
        <f t="array" ref="C6">B6/G6*1000000</f>
        <v>95.20842251277411</v>
      </c>
      <c r="D6" t="str" s="2" cm="1">
        <f t="array" ref="D6">IF(ISERROR(FIND("/",E6)),"No","Yes")</f>
        <v>Yes</v>
      </c>
      <c r="E6" t="s" s="7">
        <v>288</v>
      </c>
      <c r="F6" t="s" s="7">
        <v>12</v>
      </c>
      <c r="G6" s="10">
        <v>369106</v>
      </c>
      <c r="H6" t="s" s="7">
        <v>10</v>
      </c>
      <c r="I6" s="2"/>
      <c r="J6" s="2"/>
    </row>
    <row r="7" ht="13.55" customHeight="1">
      <c r="A7" t="s" s="7">
        <v>289</v>
      </c>
      <c r="B7" s="8" cm="1">
        <f t="array" ref="B7">AVERAGE(48.402,48.18)</f>
        <v>48.291</v>
      </c>
      <c r="C7" s="8" cm="1">
        <f t="array" ref="C7">B7/G7*1000000</f>
        <v>88.7865416436845</v>
      </c>
      <c r="D7" t="str" s="2" cm="1">
        <f t="array" ref="D7">IF(ISERROR(FIND("/",E7)),"No","Yes")</f>
        <v>Yes</v>
      </c>
      <c r="E7" t="s" s="7">
        <v>290</v>
      </c>
      <c r="F7" t="s" s="7">
        <v>12</v>
      </c>
      <c r="G7" s="10">
        <v>543900</v>
      </c>
      <c r="H7" t="s" s="7">
        <v>10</v>
      </c>
      <c r="I7" s="2"/>
      <c r="J7" s="2"/>
    </row>
    <row r="8" ht="13.55" customHeight="1">
      <c r="A8" t="s" s="7">
        <v>291</v>
      </c>
      <c r="B8" s="8" cm="1">
        <f t="array" ref="B8">AVERAGE(68.036,68.351)</f>
        <v>68.1935</v>
      </c>
      <c r="C8" s="8" cm="1">
        <f t="array" ref="C8">B8/G8*1000000</f>
        <v>95.1625732626291</v>
      </c>
      <c r="D8" t="str" s="2" cm="1">
        <f t="array" ref="D8">IF(ISERROR(FIND("/",E8)),"No","Yes")</f>
        <v>No</v>
      </c>
      <c r="E8" t="s" s="7">
        <v>292</v>
      </c>
      <c r="F8" t="s" s="7">
        <v>12</v>
      </c>
      <c r="G8" s="10">
        <v>716600</v>
      </c>
      <c r="H8" t="s" s="7">
        <v>10</v>
      </c>
      <c r="I8" s="11">
        <v>45408</v>
      </c>
      <c r="J8" s="2"/>
    </row>
    <row r="9" ht="13.55" customHeight="1">
      <c r="A9" t="s" s="7">
        <v>293</v>
      </c>
      <c r="B9" s="8" cm="1">
        <f t="array" ref="B9">AVERAGE(32.737,33.577)</f>
        <v>33.157</v>
      </c>
      <c r="C9" s="8" cm="1">
        <f t="array" ref="C9">B9/G9*1000000</f>
        <v>99.72030075187971</v>
      </c>
      <c r="D9" t="str" s="2" cm="1">
        <f t="array" ref="D9">IF(ISERROR(FIND("/",E9)),"No","Yes")</f>
        <v>No</v>
      </c>
      <c r="E9" t="s" s="7">
        <v>294</v>
      </c>
      <c r="F9" t="s" s="7">
        <v>12</v>
      </c>
      <c r="G9" s="10">
        <v>332500</v>
      </c>
      <c r="H9" t="s" s="7">
        <v>10</v>
      </c>
      <c r="I9" s="11">
        <v>45408</v>
      </c>
      <c r="J9" s="2"/>
    </row>
    <row r="10" ht="13.55" customHeight="1">
      <c r="A10" t="s" s="7">
        <v>295</v>
      </c>
      <c r="B10" s="8" cm="1">
        <f t="array" ref="B10">AVERAGE(39.501,38.699)</f>
        <v>39.1</v>
      </c>
      <c r="C10" s="8" cm="1">
        <f t="array" ref="C10">B10/G10*1000000</f>
        <v>102.705542421854</v>
      </c>
      <c r="D10" t="str" s="2" cm="1">
        <f t="array" ref="D10">IF(ISERROR(FIND("/",E10)),"No","Yes")</f>
        <v>No</v>
      </c>
      <c r="E10" t="s" s="7">
        <v>296</v>
      </c>
      <c r="F10" t="s" s="7">
        <v>12</v>
      </c>
      <c r="G10" s="10">
        <v>380700</v>
      </c>
      <c r="H10" t="s" s="7">
        <v>10</v>
      </c>
      <c r="I10" s="11">
        <v>45408</v>
      </c>
      <c r="J10" s="2"/>
    </row>
    <row r="11" ht="13.55" customHeight="1">
      <c r="A11" t="s" s="7">
        <v>297</v>
      </c>
      <c r="B11" s="8" cm="1">
        <f t="array" ref="B11">AVERAGE(34.14,33.499)</f>
        <v>33.8195</v>
      </c>
      <c r="C11" s="8" cm="1">
        <f t="array" ref="C11">B11/G11*1000000</f>
        <v>98.7142440163456</v>
      </c>
      <c r="D11" t="str" s="2" cm="1">
        <f t="array" ref="D11">IF(ISERROR(FIND("/",E11)),"No","Yes")</f>
        <v>No</v>
      </c>
      <c r="E11" t="s" s="7">
        <v>298</v>
      </c>
      <c r="F11" t="s" s="7">
        <v>55</v>
      </c>
      <c r="G11" s="10">
        <v>342600</v>
      </c>
      <c r="H11" t="s" s="7">
        <v>10</v>
      </c>
      <c r="I11" s="11">
        <v>45408</v>
      </c>
      <c r="J11" s="2"/>
    </row>
    <row r="12" ht="13.55" customHeight="1">
      <c r="A12" t="s" s="7">
        <v>299</v>
      </c>
      <c r="B12" s="8" cm="1">
        <f t="array" ref="B12">AVERAGE(29.118,29.763)</f>
        <v>29.4405</v>
      </c>
      <c r="C12" s="8" cm="1">
        <f t="array" ref="C12">B12/G12*1000000</f>
        <v>84.8673969443644</v>
      </c>
      <c r="D12" t="str" s="2" cm="1">
        <f t="array" ref="D12">IF(ISERROR(FIND("/",E12)),"No","Yes")</f>
        <v>No</v>
      </c>
      <c r="E12" t="s" s="7">
        <v>300</v>
      </c>
      <c r="F12" t="s" s="7">
        <v>55</v>
      </c>
      <c r="G12" s="10">
        <v>346900</v>
      </c>
      <c r="H12" t="s" s="7">
        <v>10</v>
      </c>
      <c r="I12" s="11">
        <v>45408</v>
      </c>
      <c r="J12" s="2"/>
    </row>
    <row r="13" ht="13.55" customHeight="1">
      <c r="A13" s="2"/>
      <c r="B13" s="2"/>
      <c r="C13" s="2"/>
      <c r="D13" s="2"/>
      <c r="E13" s="2"/>
      <c r="F13" s="2"/>
      <c r="G13" s="3"/>
      <c r="H13" s="2"/>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J139"/>
  <sheetViews>
    <sheetView workbookViewId="0" showGridLines="0" defaultGridColor="1"/>
  </sheetViews>
  <sheetFormatPr defaultColWidth="20.6667" defaultRowHeight="15" customHeight="1" outlineLevelRow="0" outlineLevelCol="0"/>
  <cols>
    <col min="1" max="1" width="24.5" style="22" customWidth="1"/>
    <col min="2" max="3" width="20.6719" style="22" customWidth="1"/>
    <col min="4" max="4" width="16.6719" style="22" customWidth="1"/>
    <col min="5" max="5" width="148" style="22" customWidth="1"/>
    <col min="6" max="10" width="20.6719" style="22" customWidth="1"/>
    <col min="11" max="16384" width="20.6719" style="22"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301</v>
      </c>
      <c r="B3" s="8" cm="1">
        <f t="array" ref="B3">AVERAGE(61.361,64.064,62.04)</f>
        <v>62.4883333333333</v>
      </c>
      <c r="C3" s="8" cm="1">
        <f t="array" ref="C3">B3/G3*1000000</f>
        <v>91.290479668858</v>
      </c>
      <c r="D3" t="str" s="2" cm="1">
        <f t="array" ref="D3">IF(ISERROR(FIND("/",E3)),"No","Yes")</f>
        <v>No</v>
      </c>
      <c r="E3" t="s" s="7">
        <v>302</v>
      </c>
      <c r="F3" t="s" s="7">
        <v>12</v>
      </c>
      <c r="G3" s="10">
        <v>684500</v>
      </c>
      <c r="H3" t="s" s="7">
        <v>10</v>
      </c>
      <c r="I3" s="2"/>
      <c r="J3" s="2"/>
    </row>
    <row r="4" ht="13.55" customHeight="1">
      <c r="A4" t="s" s="7">
        <v>303</v>
      </c>
      <c r="B4" s="8" cm="1">
        <f t="array" ref="B4">AVERAGE(23.72,24.092)</f>
        <v>23.906</v>
      </c>
      <c r="C4" s="8" cm="1">
        <f t="array" ref="C4">B4/G4*1000000</f>
        <v>104.804910127137</v>
      </c>
      <c r="D4" t="str" s="2" cm="1">
        <f t="array" ref="D4">IF(ISERROR(FIND("/",E4)),"No","Yes")</f>
        <v>No</v>
      </c>
      <c r="E4" t="s" s="7">
        <v>304</v>
      </c>
      <c r="F4" t="s" s="7">
        <v>55</v>
      </c>
      <c r="G4" s="10">
        <v>228100</v>
      </c>
      <c r="H4" t="s" s="7">
        <v>10</v>
      </c>
      <c r="I4" s="2"/>
      <c r="J4" s="2"/>
    </row>
    <row r="5" ht="13.55" customHeight="1">
      <c r="A5" t="s" s="7">
        <v>305</v>
      </c>
      <c r="B5" s="8" cm="1">
        <f t="array" ref="B5">AVERAGE(23.987,24.073)</f>
        <v>24.03</v>
      </c>
      <c r="C5" s="8" cm="1">
        <f t="array" ref="C5">B5/G5*1000000</f>
        <v>99.58557811852469</v>
      </c>
      <c r="D5" t="str" s="2" cm="1">
        <f t="array" ref="D5">IF(ISERROR(FIND("/",E5)),"No","Yes")</f>
        <v>No</v>
      </c>
      <c r="E5" t="s" s="7">
        <v>306</v>
      </c>
      <c r="F5" t="s" s="7">
        <v>12</v>
      </c>
      <c r="G5" s="10">
        <v>241300</v>
      </c>
      <c r="H5" t="s" s="7">
        <v>10</v>
      </c>
      <c r="I5" s="2"/>
      <c r="J5" s="2"/>
    </row>
    <row r="6" ht="13.55" customHeight="1">
      <c r="A6" t="s" s="7">
        <v>307</v>
      </c>
      <c r="B6" t="s" s="7">
        <v>308</v>
      </c>
      <c r="C6" s="8">
        <v>100</v>
      </c>
      <c r="D6" t="str" s="2" cm="1">
        <f t="array" ref="D6">IF(ISERROR(FIND("/",E6)),"No","Yes")</f>
        <v>No</v>
      </c>
      <c r="E6" t="s" s="7">
        <v>309</v>
      </c>
      <c r="F6" t="s" s="7">
        <v>310</v>
      </c>
      <c r="G6" s="10">
        <v>228100</v>
      </c>
      <c r="H6" t="s" s="7">
        <v>10</v>
      </c>
      <c r="I6" s="11">
        <v>45419</v>
      </c>
      <c r="J6" s="2"/>
    </row>
    <row r="7" ht="13.55" customHeight="1">
      <c r="A7" t="s" s="7">
        <v>311</v>
      </c>
      <c r="B7" s="8" cm="1">
        <f t="array" ref="B7">AVERAGE(33.418,33.223)</f>
        <v>33.3205</v>
      </c>
      <c r="C7" s="8" cm="1">
        <f t="array" ref="C7">B7/G7*1000000</f>
        <v>116.584326431216</v>
      </c>
      <c r="D7" t="str" s="2" cm="1">
        <f t="array" ref="D7">IF(ISERROR(FIND("/",E7)),"No","Yes")</f>
        <v>Yes</v>
      </c>
      <c r="E7" t="s" s="7">
        <v>312</v>
      </c>
      <c r="F7" t="s" s="7">
        <v>12</v>
      </c>
      <c r="G7" s="10">
        <v>285806</v>
      </c>
      <c r="H7" t="s" s="7">
        <v>10</v>
      </c>
      <c r="I7" s="11">
        <v>45506</v>
      </c>
      <c r="J7" s="2"/>
    </row>
    <row r="8" ht="13.55" customHeight="1">
      <c r="A8" t="s" s="7">
        <v>313</v>
      </c>
      <c r="B8" s="8" cm="1">
        <f t="array" ref="B8">AVERAGE(61.678,61.706)</f>
        <v>61.692</v>
      </c>
      <c r="C8" s="8" cm="1">
        <f t="array" ref="C8">B8/G8*1000000</f>
        <v>89.48651000870321</v>
      </c>
      <c r="D8" t="str" s="2" cm="1">
        <f t="array" ref="D8">IF(ISERROR(FIND("/",E8)),"No","Yes")</f>
        <v>Yes</v>
      </c>
      <c r="E8" t="s" s="7">
        <v>314</v>
      </c>
      <c r="F8" t="s" s="7">
        <v>12</v>
      </c>
      <c r="G8" s="10">
        <v>689400</v>
      </c>
      <c r="H8" t="s" s="7">
        <v>10</v>
      </c>
      <c r="I8" s="11">
        <v>45506</v>
      </c>
      <c r="J8" s="2"/>
    </row>
    <row r="9" ht="13.55" customHeight="1">
      <c r="A9" t="s" s="7">
        <v>315</v>
      </c>
      <c r="B9" s="8" cm="1">
        <f t="array" ref="B9">AVERAGE(68.101,69.588)</f>
        <v>68.8445</v>
      </c>
      <c r="C9" s="8" cm="1">
        <f t="array" ref="C9">B9/G9*1000000</f>
        <v>89.02689771110821</v>
      </c>
      <c r="D9" t="str" s="2" cm="1">
        <f t="array" ref="D9">IF(ISERROR(FIND("/",E9)),"No","Yes")</f>
        <v>Yes</v>
      </c>
      <c r="E9" t="s" s="7">
        <v>316</v>
      </c>
      <c r="F9" t="s" s="7">
        <v>36</v>
      </c>
      <c r="G9" s="10">
        <v>773300</v>
      </c>
      <c r="H9" t="s" s="7">
        <v>10</v>
      </c>
      <c r="I9" s="11">
        <v>45694</v>
      </c>
      <c r="J9" s="2"/>
    </row>
    <row r="10" ht="13.55" customHeight="1">
      <c r="A10" t="s" s="7">
        <v>317</v>
      </c>
      <c r="B10" s="8" cm="1">
        <f t="array" ref="B10">AVERAGE(59.797,60.049)</f>
        <v>59.923</v>
      </c>
      <c r="C10" s="8" cm="1">
        <f t="array" ref="C10">B10/G10*1000000</f>
        <v>89.5977870813397</v>
      </c>
      <c r="D10" t="str" s="2" cm="1">
        <f t="array" ref="D10">IF(ISERROR(FIND("/",E10)),"No","Yes")</f>
        <v>Yes</v>
      </c>
      <c r="E10" t="s" s="7">
        <v>318</v>
      </c>
      <c r="F10" t="s" s="7">
        <v>12</v>
      </c>
      <c r="G10" s="10">
        <v>668800</v>
      </c>
      <c r="H10" t="s" s="7">
        <v>10</v>
      </c>
      <c r="I10" s="11">
        <v>45706</v>
      </c>
      <c r="J10" s="2"/>
    </row>
    <row r="11" ht="13.55" customHeight="1">
      <c r="A11" t="s" s="7">
        <v>319</v>
      </c>
      <c r="B11" s="8" cm="1">
        <f t="array" ref="B11">AVERAGE(56.752,56.518)</f>
        <v>56.635</v>
      </c>
      <c r="C11" s="8" cm="1">
        <f t="array" ref="C11">B11/G11*1000000</f>
        <v>82.0916074793448</v>
      </c>
      <c r="D11" t="str" s="2" cm="1">
        <f t="array" ref="D11">IF(ISERROR(FIND("/",E11)),"No","Yes")</f>
        <v>Yes</v>
      </c>
      <c r="E11" t="s" s="7">
        <v>320</v>
      </c>
      <c r="F11" t="s" s="7">
        <v>12</v>
      </c>
      <c r="G11" s="10">
        <v>689900</v>
      </c>
      <c r="H11" t="s" s="7">
        <v>10</v>
      </c>
      <c r="I11" s="11">
        <v>45706</v>
      </c>
      <c r="J11" s="2"/>
    </row>
    <row r="12" ht="13.55" customHeight="1">
      <c r="A12" s="2"/>
      <c r="B12" s="2"/>
      <c r="C12" s="2"/>
      <c r="D12" s="2"/>
      <c r="E12" s="2"/>
      <c r="F12" s="2"/>
      <c r="G12" s="3"/>
      <c r="H12" s="2"/>
      <c r="I12" s="2"/>
      <c r="J12" s="2"/>
    </row>
    <row r="13" ht="13.55" customHeight="1">
      <c r="A13" s="2"/>
      <c r="B13" s="2"/>
      <c r="C13" s="2"/>
      <c r="D13" s="2"/>
      <c r="E13" s="2"/>
      <c r="F13" s="2"/>
      <c r="G13" s="3"/>
      <c r="H13" s="2"/>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13"/>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2"/>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13"/>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J139"/>
  <sheetViews>
    <sheetView workbookViewId="0" showGridLines="0" defaultGridColor="1"/>
  </sheetViews>
  <sheetFormatPr defaultColWidth="20.6667" defaultRowHeight="15" customHeight="1" outlineLevelRow="0" outlineLevelCol="0"/>
  <cols>
    <col min="1" max="1" width="24.5" style="23" customWidth="1"/>
    <col min="2" max="3" width="20.6719" style="23" customWidth="1"/>
    <col min="4" max="4" width="16.6719" style="23" customWidth="1"/>
    <col min="5" max="5" width="148" style="23" customWidth="1"/>
    <col min="6" max="10" width="20.6719" style="23" customWidth="1"/>
    <col min="11" max="16384" width="20.6719" style="23"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321</v>
      </c>
      <c r="B3" s="8" cm="1">
        <f t="array" ref="B3">AVERAGE(64.127,65.146)</f>
        <v>64.6365</v>
      </c>
      <c r="C3" s="8" cm="1">
        <f t="array" ref="C3">B3/G3*1000000</f>
        <v>81.97400126823079</v>
      </c>
      <c r="D3" t="str" s="2" cm="1">
        <f t="array" ref="D3">IF(ISERROR(FIND("/",E3)),"No","Yes")</f>
        <v>Yes</v>
      </c>
      <c r="E3" t="s" s="7">
        <v>322</v>
      </c>
      <c r="F3" t="s" s="7">
        <v>12</v>
      </c>
      <c r="G3" s="8">
        <v>788500</v>
      </c>
      <c r="H3" t="s" s="7">
        <v>10</v>
      </c>
      <c r="I3" s="11">
        <v>45706</v>
      </c>
      <c r="J3" s="2"/>
    </row>
    <row r="4" ht="13.55" customHeight="1">
      <c r="A4" t="s" s="7">
        <v>323</v>
      </c>
      <c r="B4" s="8" cm="1">
        <f t="array" ref="B4">AVERAGE(23.631,24.273)</f>
        <v>23.952</v>
      </c>
      <c r="C4" s="8" cm="1">
        <f t="array" ref="C4">B4/G4*1000000</f>
        <v>103.285899094437</v>
      </c>
      <c r="D4" t="str" s="2" cm="1">
        <f t="array" ref="D4">IF(ISERROR(FIND("/",E4)),"No","Yes")</f>
        <v>No</v>
      </c>
      <c r="E4" t="s" s="7">
        <v>324</v>
      </c>
      <c r="F4" t="s" s="7">
        <v>12</v>
      </c>
      <c r="G4" s="8">
        <v>231900</v>
      </c>
      <c r="H4" t="s" s="7">
        <v>10</v>
      </c>
      <c r="I4" s="11">
        <v>45706</v>
      </c>
      <c r="J4" s="2"/>
    </row>
    <row r="5" ht="13.55" customHeight="1">
      <c r="A5" t="s" s="7">
        <v>325</v>
      </c>
      <c r="B5" s="8" cm="1">
        <f t="array" ref="B5">AVERAGE(23.576,23.673)</f>
        <v>23.6245</v>
      </c>
      <c r="C5" s="8" cm="1">
        <f t="array" ref="C5">B5/G5*1000000</f>
        <v>98.2307692307692</v>
      </c>
      <c r="D5" t="str" s="2" cm="1">
        <f t="array" ref="D5">IF(ISERROR(FIND("/",E5)),"No","Yes")</f>
        <v>No</v>
      </c>
      <c r="E5" t="s" s="7">
        <v>326</v>
      </c>
      <c r="F5" t="s" s="7">
        <v>55</v>
      </c>
      <c r="G5" s="8">
        <v>240500</v>
      </c>
      <c r="H5" t="s" s="7">
        <v>10</v>
      </c>
      <c r="I5" s="11">
        <v>45706</v>
      </c>
      <c r="J5" s="2"/>
    </row>
    <row r="6" ht="13.55" customHeight="1">
      <c r="A6" s="2"/>
      <c r="B6" s="2"/>
      <c r="C6" s="2"/>
      <c r="D6" s="2"/>
      <c r="E6" s="2"/>
      <c r="F6" s="2"/>
      <c r="G6" s="3"/>
      <c r="H6" s="2"/>
      <c r="I6" s="11"/>
      <c r="J6" s="2"/>
    </row>
    <row r="7" ht="13.55" customHeight="1">
      <c r="A7" s="2"/>
      <c r="B7" s="2"/>
      <c r="C7" s="2"/>
      <c r="D7" s="2"/>
      <c r="E7" s="2"/>
      <c r="F7" s="2"/>
      <c r="G7" s="3"/>
      <c r="H7" s="2"/>
      <c r="I7" s="11"/>
      <c r="J7" s="2"/>
    </row>
    <row r="8" ht="13.55" customHeight="1">
      <c r="A8" s="2"/>
      <c r="B8" s="2"/>
      <c r="C8" s="2"/>
      <c r="D8" s="2"/>
      <c r="E8" s="2"/>
      <c r="F8" s="2"/>
      <c r="G8" s="3"/>
      <c r="H8" s="2"/>
      <c r="I8" s="11"/>
      <c r="J8" s="2"/>
    </row>
    <row r="9" ht="13.55" customHeight="1">
      <c r="A9" s="2"/>
      <c r="B9" s="2"/>
      <c r="C9" s="2"/>
      <c r="D9" s="2"/>
      <c r="E9" s="2"/>
      <c r="F9" s="2"/>
      <c r="G9" s="3"/>
      <c r="H9" s="2"/>
      <c r="I9" s="11"/>
      <c r="J9" s="2"/>
    </row>
    <row r="10" ht="13.55" customHeight="1">
      <c r="A10" s="2"/>
      <c r="B10" s="2"/>
      <c r="C10" s="2"/>
      <c r="D10" s="2"/>
      <c r="E10" s="2"/>
      <c r="F10" s="2"/>
      <c r="G10" s="3"/>
      <c r="H10" s="2"/>
      <c r="I10" s="2"/>
      <c r="J10" s="2"/>
    </row>
    <row r="11" ht="13.55" customHeight="1">
      <c r="A11" s="2"/>
      <c r="B11" s="2"/>
      <c r="C11" s="2"/>
      <c r="D11" s="2"/>
      <c r="E11" s="2"/>
      <c r="F11" s="2"/>
      <c r="G11" s="3"/>
      <c r="H11" s="2"/>
      <c r="I11" s="2"/>
      <c r="J11" s="2"/>
    </row>
    <row r="12" ht="13.55" customHeight="1">
      <c r="A12" s="2"/>
      <c r="B12" s="2"/>
      <c r="C12" s="2"/>
      <c r="D12" s="2"/>
      <c r="E12" s="2"/>
      <c r="F12" s="2"/>
      <c r="G12" s="3"/>
      <c r="H12" s="2"/>
      <c r="I12" s="2"/>
      <c r="J12" s="2"/>
    </row>
    <row r="13" ht="13.55" customHeight="1">
      <c r="A13" s="2"/>
      <c r="B13" s="2"/>
      <c r="C13" s="2"/>
      <c r="D13" s="2"/>
      <c r="E13" s="2"/>
      <c r="F13" s="2"/>
      <c r="G13" s="3"/>
      <c r="H13" s="2"/>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13"/>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2"/>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13"/>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J139"/>
  <sheetViews>
    <sheetView workbookViewId="0" showGridLines="0" defaultGridColor="1"/>
  </sheetViews>
  <sheetFormatPr defaultColWidth="20.6667" defaultRowHeight="15" customHeight="1" outlineLevelRow="0" outlineLevelCol="0"/>
  <cols>
    <col min="1" max="1" width="24.5" style="24" customWidth="1"/>
    <col min="2" max="3" width="20.6719" style="24" customWidth="1"/>
    <col min="4" max="4" width="16.6719" style="24" customWidth="1"/>
    <col min="5" max="5" width="148" style="24" customWidth="1"/>
    <col min="6" max="10" width="20.6719" style="24" customWidth="1"/>
    <col min="11" max="16384" width="20.6719" style="24"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327</v>
      </c>
      <c r="B3" s="8" cm="1">
        <f t="array" ref="B3">AVERAGE(65.634,65.502)</f>
        <v>65.568</v>
      </c>
      <c r="C3" s="8" cm="1">
        <f t="array" ref="C3">B3/G3*1000000</f>
        <v>83.93241167434719</v>
      </c>
      <c r="D3" t="str" s="2" cm="1">
        <f t="array" ref="D3">IF(ISERROR(FIND("/",E3)),"No","Yes")</f>
        <v>Yes</v>
      </c>
      <c r="E3" t="s" s="7">
        <v>328</v>
      </c>
      <c r="F3" t="s" s="7">
        <v>12</v>
      </c>
      <c r="G3" s="8">
        <v>781200</v>
      </c>
      <c r="H3" t="s" s="7">
        <v>10</v>
      </c>
      <c r="I3" s="11">
        <v>45706</v>
      </c>
      <c r="J3" s="2"/>
    </row>
    <row r="4" ht="13.55" customHeight="1">
      <c r="A4" t="s" s="7">
        <v>329</v>
      </c>
      <c r="B4" s="8" cm="1">
        <f t="array" ref="B4">AVERAGE(23.368,23.84)</f>
        <v>23.604</v>
      </c>
      <c r="C4" s="8" cm="1">
        <f t="array" ref="C4">B4/G4*1000000</f>
        <v>105.280999107939</v>
      </c>
      <c r="D4" t="str" s="2" cm="1">
        <f t="array" ref="D4">IF(ISERROR(FIND("/",E4)),"No","Yes")</f>
        <v>No</v>
      </c>
      <c r="E4" t="s" s="7">
        <v>330</v>
      </c>
      <c r="F4" t="s" s="7">
        <v>12</v>
      </c>
      <c r="G4" s="8">
        <v>224200</v>
      </c>
      <c r="H4" t="s" s="7">
        <v>10</v>
      </c>
      <c r="I4" s="11">
        <v>45706</v>
      </c>
      <c r="J4" s="2"/>
    </row>
    <row r="5" ht="13.55" customHeight="1">
      <c r="A5" t="s" s="7">
        <v>331</v>
      </c>
      <c r="B5" s="8" cm="1">
        <f t="array" ref="B5">AVERAGE(25.155,25.391)</f>
        <v>25.273</v>
      </c>
      <c r="C5" s="8" cm="1">
        <f t="array" ref="C5">B5/G5*1000000</f>
        <v>107.361937128292</v>
      </c>
      <c r="D5" t="str" s="2" cm="1">
        <f t="array" ref="D5">IF(ISERROR(FIND("/",E5)),"No","Yes")</f>
        <v>No</v>
      </c>
      <c r="E5" t="s" s="7">
        <v>332</v>
      </c>
      <c r="F5" t="s" s="7">
        <v>55</v>
      </c>
      <c r="G5" s="8">
        <v>235400</v>
      </c>
      <c r="H5" t="s" s="7">
        <v>10</v>
      </c>
      <c r="I5" s="11">
        <v>45706</v>
      </c>
      <c r="J5" s="2"/>
    </row>
    <row r="6" ht="13.55" customHeight="1">
      <c r="A6" s="2"/>
      <c r="B6" s="2"/>
      <c r="C6" s="2"/>
      <c r="D6" s="2"/>
      <c r="E6" s="2"/>
      <c r="F6" s="2"/>
      <c r="G6" s="3"/>
      <c r="H6" s="2"/>
      <c r="I6" s="11"/>
      <c r="J6" s="2"/>
    </row>
    <row r="7" ht="13.55" customHeight="1">
      <c r="A7" s="2"/>
      <c r="B7" s="2"/>
      <c r="C7" s="2"/>
      <c r="D7" s="2"/>
      <c r="E7" s="2"/>
      <c r="F7" s="2"/>
      <c r="G7" s="3"/>
      <c r="H7" s="2"/>
      <c r="I7" s="11"/>
      <c r="J7" s="2"/>
    </row>
    <row r="8" ht="13.55" customHeight="1">
      <c r="A8" s="2"/>
      <c r="B8" s="2"/>
      <c r="C8" s="2"/>
      <c r="D8" s="2"/>
      <c r="E8" s="2"/>
      <c r="F8" s="2"/>
      <c r="G8" s="3"/>
      <c r="H8" s="2"/>
      <c r="I8" s="11"/>
      <c r="J8" s="2"/>
    </row>
    <row r="9" ht="13.55" customHeight="1">
      <c r="A9" s="2"/>
      <c r="B9" s="2"/>
      <c r="C9" s="2"/>
      <c r="D9" s="2"/>
      <c r="E9" s="2"/>
      <c r="F9" s="2"/>
      <c r="G9" s="3"/>
      <c r="H9" s="2"/>
      <c r="I9" s="11"/>
      <c r="J9" s="2"/>
    </row>
    <row r="10" ht="13.55" customHeight="1">
      <c r="A10" s="2"/>
      <c r="B10" s="2"/>
      <c r="C10" s="2"/>
      <c r="D10" s="2"/>
      <c r="E10" s="2"/>
      <c r="F10" s="2"/>
      <c r="G10" s="3"/>
      <c r="H10" s="2"/>
      <c r="I10" s="2"/>
      <c r="J10" s="2"/>
    </row>
    <row r="11" ht="13.55" customHeight="1">
      <c r="A11" s="2"/>
      <c r="B11" s="2"/>
      <c r="C11" s="2"/>
      <c r="D11" s="2"/>
      <c r="E11" s="2"/>
      <c r="F11" s="2"/>
      <c r="G11" s="3"/>
      <c r="H11" s="2"/>
      <c r="I11" s="2"/>
      <c r="J11" s="2"/>
    </row>
    <row r="12" ht="13.55" customHeight="1">
      <c r="A12" s="2"/>
      <c r="B12" s="2"/>
      <c r="C12" s="2"/>
      <c r="D12" s="2"/>
      <c r="E12" s="2"/>
      <c r="F12" s="2"/>
      <c r="G12" s="3"/>
      <c r="H12" s="2"/>
      <c r="I12" s="2"/>
      <c r="J12" s="2"/>
    </row>
    <row r="13" ht="13.55" customHeight="1">
      <c r="A13" s="2"/>
      <c r="B13" s="2"/>
      <c r="C13" s="2"/>
      <c r="D13" s="2"/>
      <c r="E13" s="2"/>
      <c r="F13" s="2"/>
      <c r="G13" s="3"/>
      <c r="H13" s="2"/>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13"/>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2"/>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13"/>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J134"/>
  <sheetViews>
    <sheetView workbookViewId="0" showGridLines="0" defaultGridColor="1"/>
  </sheetViews>
  <sheetFormatPr defaultColWidth="20.6667" defaultRowHeight="15" customHeight="1" outlineLevelRow="0" outlineLevelCol="0"/>
  <cols>
    <col min="1" max="1" width="24.5" style="25" customWidth="1"/>
    <col min="2" max="3" width="20.6719" style="25" customWidth="1"/>
    <col min="4" max="4" width="16.6719" style="25" customWidth="1"/>
    <col min="5" max="5" width="148" style="25" customWidth="1"/>
    <col min="6" max="10" width="20.6719" style="25" customWidth="1"/>
    <col min="11" max="16384" width="20.6719" style="25"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333</v>
      </c>
      <c r="B3" s="8">
        <v>9.606</v>
      </c>
      <c r="C3" s="8" cm="1">
        <f t="array" ref="C3">B3/G3*1000000</f>
        <v>34.7037572254335</v>
      </c>
      <c r="D3" t="str" s="2" cm="1">
        <f t="array" ref="D3">IF(ISERROR(FIND("/",E3)),"No","Yes")</f>
        <v>Yes</v>
      </c>
      <c r="E3" t="s" s="7">
        <v>334</v>
      </c>
      <c r="F3" t="s" s="7">
        <v>12</v>
      </c>
      <c r="G3" s="10">
        <v>276800</v>
      </c>
      <c r="H3" t="s" s="7">
        <v>16</v>
      </c>
      <c r="I3" s="2"/>
      <c r="J3" s="2"/>
    </row>
    <row r="4" ht="13.55" customHeight="1">
      <c r="A4" t="s" s="7">
        <v>335</v>
      </c>
      <c r="B4" s="8">
        <v>24.416</v>
      </c>
      <c r="C4" s="8" cm="1">
        <f t="array" ref="C4">B4/G4*1000000</f>
        <v>89.7129230554423</v>
      </c>
      <c r="D4" t="str" s="2" cm="1">
        <f t="array" ref="D4">IF(ISERROR(FIND("/",E4)),"No","Yes")</f>
        <v>Yes</v>
      </c>
      <c r="E4" t="s" s="7">
        <v>336</v>
      </c>
      <c r="F4" t="s" s="7">
        <v>12</v>
      </c>
      <c r="G4" s="10">
        <v>272157</v>
      </c>
      <c r="H4" t="s" s="7">
        <v>10</v>
      </c>
      <c r="I4" s="2"/>
      <c r="J4" s="2"/>
    </row>
    <row r="5" ht="13.55" customHeight="1">
      <c r="A5" t="s" s="7">
        <v>337</v>
      </c>
      <c r="B5" s="8" cm="1">
        <f t="array" ref="B5">AVERAGE(34.886,35.595)</f>
        <v>35.2405</v>
      </c>
      <c r="C5" s="8" cm="1">
        <f t="array" ref="C5">B5/G5*1000000</f>
        <v>96.4172366621067</v>
      </c>
      <c r="D5" t="str" s="2" cm="1">
        <f t="array" ref="D5">IF(ISERROR(FIND("/",E5)),"No","Yes")</f>
        <v>No</v>
      </c>
      <c r="E5" t="s" s="7">
        <v>338</v>
      </c>
      <c r="F5" t="s" s="7">
        <v>12</v>
      </c>
      <c r="G5" s="10">
        <v>365500</v>
      </c>
      <c r="H5" t="s" s="7">
        <v>10</v>
      </c>
      <c r="I5" s="2"/>
      <c r="J5" s="2"/>
    </row>
    <row r="6" ht="13.55" customHeight="1">
      <c r="A6" t="s" s="7">
        <v>339</v>
      </c>
      <c r="B6" s="8">
        <v>35.74</v>
      </c>
      <c r="C6" s="8" cm="1">
        <f t="array" ref="C6">B6/G6*1000000</f>
        <v>165.846867749420</v>
      </c>
      <c r="D6" t="str" s="2" cm="1">
        <f t="array" ref="D6">IF(ISERROR(FIND("/",E6)),"No","Yes")</f>
        <v>Yes</v>
      </c>
      <c r="E6" t="s" s="7">
        <v>340</v>
      </c>
      <c r="F6" t="s" s="7">
        <v>55</v>
      </c>
      <c r="G6" s="10">
        <v>215500</v>
      </c>
      <c r="H6" t="s" s="7">
        <v>10</v>
      </c>
      <c r="I6" s="2"/>
      <c r="J6" s="2"/>
    </row>
    <row r="7" ht="13.55" customHeight="1">
      <c r="A7" t="s" s="7">
        <v>341</v>
      </c>
      <c r="B7" s="8" cm="1">
        <f t="array" ref="B7">AVERAGE(40.245,39.81)</f>
        <v>40.0275</v>
      </c>
      <c r="C7" s="8" cm="1">
        <f t="array" ref="C7">B7/G7*1000000</f>
        <v>83.4949937421777</v>
      </c>
      <c r="D7" t="str" s="2" cm="1">
        <f t="array" ref="D7">IF(ISERROR(FIND("/",E7)),"No","Yes")</f>
        <v>No</v>
      </c>
      <c r="E7" t="s" s="7">
        <v>342</v>
      </c>
      <c r="F7" t="s" s="7">
        <v>12</v>
      </c>
      <c r="G7" s="10">
        <v>479400</v>
      </c>
      <c r="H7" t="s" s="7">
        <v>10</v>
      </c>
      <c r="I7" s="2"/>
      <c r="J7" s="2"/>
    </row>
    <row r="8" ht="13.55" customHeight="1">
      <c r="A8" t="s" s="7">
        <v>343</v>
      </c>
      <c r="B8" s="8" cm="1">
        <f t="array" ref="B8">AVERAGE(22.406,22.897)</f>
        <v>22.6515</v>
      </c>
      <c r="C8" s="8" cm="1">
        <f t="array" ref="C8">B8/G8*1000000</f>
        <v>99.0445999125492</v>
      </c>
      <c r="D8" t="str" s="2" cm="1">
        <f t="array" ref="D8">IF(ISERROR(FIND("/",E8)),"No","Yes")</f>
        <v>Yes</v>
      </c>
      <c r="E8" t="s" s="7">
        <v>344</v>
      </c>
      <c r="F8" t="s" s="7">
        <v>12</v>
      </c>
      <c r="G8" s="10">
        <v>228700</v>
      </c>
      <c r="H8" t="s" s="7">
        <v>10</v>
      </c>
      <c r="I8" s="2"/>
      <c r="J8" s="2"/>
    </row>
    <row r="9" ht="13.55" customHeight="1">
      <c r="A9" t="s" s="7">
        <v>345</v>
      </c>
      <c r="B9" s="8" cm="1">
        <f t="array" ref="B9">AVERAGE(22.674,22.651)</f>
        <v>22.6625</v>
      </c>
      <c r="C9" s="8" cm="1">
        <f t="array" ref="C9">B9/G9*1000000</f>
        <v>99.9417879051143</v>
      </c>
      <c r="D9" t="str" s="2" cm="1">
        <f t="array" ref="D9">IF(ISERROR(FIND("/",E9)),"No","Yes")</f>
        <v>Yes</v>
      </c>
      <c r="E9" t="s" s="7">
        <v>346</v>
      </c>
      <c r="F9" t="s" s="7">
        <v>12</v>
      </c>
      <c r="G9" s="10">
        <v>226757</v>
      </c>
      <c r="H9" t="s" s="7">
        <v>10</v>
      </c>
      <c r="I9" s="2"/>
      <c r="J9" s="2"/>
    </row>
    <row r="10" ht="13.55" customHeight="1">
      <c r="A10" t="s" s="7">
        <v>347</v>
      </c>
      <c r="B10" s="8" cm="1">
        <f t="array" ref="B10">AVERAGE(18.02,18.14,17.79,17.64,18.5)</f>
        <v>18.018</v>
      </c>
      <c r="C10" s="8" cm="1">
        <f t="array" ref="C10">B10/G10*1000000</f>
        <v>95.0095969289827</v>
      </c>
      <c r="D10" t="str" s="2" cm="1">
        <f t="array" ref="D10">IF(ISERROR(FIND("/",E10)),"No","Yes")</f>
        <v>Yes</v>
      </c>
      <c r="E10" t="s" s="7">
        <v>348</v>
      </c>
      <c r="F10" t="s" s="7">
        <v>12</v>
      </c>
      <c r="G10" s="10">
        <v>189644</v>
      </c>
      <c r="H10" t="s" s="7">
        <v>10</v>
      </c>
      <c r="I10" s="2"/>
      <c r="J10" s="2"/>
    </row>
    <row r="11" ht="13.55" customHeight="1">
      <c r="A11" t="s" s="7">
        <v>349</v>
      </c>
      <c r="B11" s="8" cm="1">
        <f t="array" ref="B11">AVERAGE(19.105,19.166,19.257)</f>
        <v>19.176</v>
      </c>
      <c r="C11" s="8" cm="1">
        <f t="array" ref="C11">B11/G11*1000000</f>
        <v>89.00027847396269</v>
      </c>
      <c r="D11" t="str" s="2" cm="1">
        <f t="array" ref="D11">IF(ISERROR(FIND("/",E11)),"No","Yes")</f>
        <v>Yes</v>
      </c>
      <c r="E11" t="s" s="7">
        <v>350</v>
      </c>
      <c r="F11" t="s" s="7">
        <v>55</v>
      </c>
      <c r="G11" s="10">
        <v>215460</v>
      </c>
      <c r="H11" t="s" s="7">
        <v>10</v>
      </c>
      <c r="I11" s="2"/>
      <c r="J11" s="2"/>
    </row>
    <row r="12" ht="13.55" customHeight="1">
      <c r="A12" t="s" s="7">
        <v>351</v>
      </c>
      <c r="B12" s="8" cm="1">
        <f t="array" ref="B12">AVERAGE(17.927,18.338,18.196)</f>
        <v>18.1536666666667</v>
      </c>
      <c r="C12" s="8" cm="1">
        <f t="array" ref="C12">B12/G12*1000000</f>
        <v>95.72497240443521</v>
      </c>
      <c r="D12" t="str" s="2" cm="1">
        <f t="array" ref="D12">IF(ISERROR(FIND("/",E12)),"No","Yes")</f>
        <v>Yes</v>
      </c>
      <c r="E12" t="s" s="7">
        <v>352</v>
      </c>
      <c r="F12" t="s" s="7">
        <v>12</v>
      </c>
      <c r="G12" s="10">
        <v>189644</v>
      </c>
      <c r="H12" t="s" s="7">
        <v>10</v>
      </c>
      <c r="I12" s="2"/>
      <c r="J12" s="2"/>
    </row>
    <row r="13" ht="13.55" customHeight="1">
      <c r="A13" t="s" s="7">
        <v>353</v>
      </c>
      <c r="B13" s="8" cm="1">
        <f t="array" ref="B13">AVERAGE(20.382,20.449)</f>
        <v>20.4155</v>
      </c>
      <c r="C13" s="8" cm="1">
        <f t="array" ref="C13">B13/G13*1000000</f>
        <v>90.654973357016</v>
      </c>
      <c r="D13" t="str" s="2" cm="1">
        <f t="array" ref="D13">IF(ISERROR(FIND("/",E13)),"No","Yes")</f>
        <v>No</v>
      </c>
      <c r="E13" t="s" s="7">
        <v>354</v>
      </c>
      <c r="F13" t="s" s="7">
        <v>55</v>
      </c>
      <c r="G13" s="10">
        <v>225200</v>
      </c>
      <c r="H13" t="s" s="7">
        <v>10</v>
      </c>
      <c r="I13" s="2"/>
      <c r="J13" s="2"/>
    </row>
    <row r="14" ht="13.55" customHeight="1">
      <c r="A14" t="s" s="7">
        <v>355</v>
      </c>
      <c r="B14" s="8" cm="1">
        <f t="array" ref="B14">AVERAGE(23.161,23.561)</f>
        <v>23.361</v>
      </c>
      <c r="C14" s="8" cm="1">
        <f t="array" ref="C14">B14/G14*1000000</f>
        <v>86.6505934718101</v>
      </c>
      <c r="D14" t="str" s="2" cm="1">
        <f t="array" ref="D14">IF(ISERROR(FIND("/",E14)),"No","Yes")</f>
        <v>No</v>
      </c>
      <c r="E14" t="s" s="7">
        <v>356</v>
      </c>
      <c r="F14" t="s" s="7">
        <v>55</v>
      </c>
      <c r="G14" s="10">
        <v>269600</v>
      </c>
      <c r="H14" t="s" s="7">
        <v>10</v>
      </c>
      <c r="I14" s="2"/>
      <c r="J14" s="2"/>
    </row>
    <row r="15" ht="13.55" customHeight="1">
      <c r="A15" t="s" s="7">
        <v>357</v>
      </c>
      <c r="B15" s="8" cm="1">
        <f t="array" ref="B15">AVERAGE(26.262,26.395)</f>
        <v>26.3285</v>
      </c>
      <c r="C15" s="8" cm="1">
        <f t="array" ref="C15">B15/G15*1000000</f>
        <v>94.604743083004</v>
      </c>
      <c r="D15" t="str" s="2" cm="1">
        <f t="array" ref="D15">IF(ISERROR(FIND("/",E15)),"No","Yes")</f>
        <v>Yes</v>
      </c>
      <c r="E15" t="s" s="7">
        <v>358</v>
      </c>
      <c r="F15" t="s" s="7">
        <v>12</v>
      </c>
      <c r="G15" s="10">
        <v>278300</v>
      </c>
      <c r="H15" t="s" s="7">
        <v>10</v>
      </c>
      <c r="I15" s="2"/>
      <c r="J15" s="2"/>
    </row>
    <row r="16" ht="13.55" customHeight="1">
      <c r="A16" t="s" s="7">
        <v>359</v>
      </c>
      <c r="B16" s="8" cm="1">
        <f t="array" ref="B16">AVERAGE(29.472,29.806)</f>
        <v>29.639</v>
      </c>
      <c r="C16" s="8" cm="1">
        <f t="array" ref="C16">B16/G16*1000000</f>
        <v>111.338587409750</v>
      </c>
      <c r="D16" t="str" s="2" cm="1">
        <f t="array" ref="D16">IF(ISERROR(FIND("/",E16)),"No","Yes")</f>
        <v>Yes</v>
      </c>
      <c r="E16" t="s" s="7">
        <v>360</v>
      </c>
      <c r="F16" t="s" s="7">
        <v>12</v>
      </c>
      <c r="G16" s="10">
        <v>266206</v>
      </c>
      <c r="H16" t="s" s="7">
        <v>10</v>
      </c>
      <c r="I16" s="11">
        <v>45566</v>
      </c>
      <c r="J16" s="2"/>
    </row>
    <row r="17" ht="13.55" customHeight="1">
      <c r="A17" t="s" s="7">
        <v>361</v>
      </c>
      <c r="B17" s="8" cm="1">
        <f t="array" ref="B17">AVERAGE(15.781,15.92)</f>
        <v>15.8505</v>
      </c>
      <c r="C17" s="8" cm="1">
        <f t="array" ref="C17">B17/G17*1000000</f>
        <v>94.6298507462687</v>
      </c>
      <c r="D17" t="str" s="2" cm="1">
        <f t="array" ref="D17">IF(ISERROR(FIND("/",E17)),"No","Yes")</f>
        <v>Yes</v>
      </c>
      <c r="E17" t="s" s="7">
        <v>362</v>
      </c>
      <c r="F17" t="s" s="7">
        <v>12</v>
      </c>
      <c r="G17" s="10">
        <v>167500</v>
      </c>
      <c r="H17" t="s" s="7">
        <v>10</v>
      </c>
      <c r="I17" s="2"/>
      <c r="J17" s="2"/>
    </row>
    <row r="18" ht="13.55" customHeight="1">
      <c r="A18" t="s" s="7">
        <v>363</v>
      </c>
      <c r="B18" s="8" cm="1">
        <f t="array" ref="B18">AVERAGE(22.018,22.115)</f>
        <v>22.0665</v>
      </c>
      <c r="C18" s="8" cm="1">
        <f t="array" ref="C18">B18/G18*1000000</f>
        <v>106.168568734243</v>
      </c>
      <c r="D18" t="str" s="2" cm="1">
        <f t="array" ref="D18">IF(ISERROR(FIND("/",E18)),"No","Yes")</f>
        <v>Yes</v>
      </c>
      <c r="E18" t="s" s="7">
        <v>364</v>
      </c>
      <c r="F18" t="s" s="7">
        <v>12</v>
      </c>
      <c r="G18" s="10">
        <v>207844</v>
      </c>
      <c r="H18" t="s" s="7">
        <v>10</v>
      </c>
      <c r="I18" s="2"/>
      <c r="J18" s="2"/>
    </row>
    <row r="19" ht="13.55" customHeight="1">
      <c r="A19" t="s" s="7">
        <v>365</v>
      </c>
      <c r="B19" s="8" cm="1">
        <f t="array" ref="B19">AVERAGE(17.225,17.287)</f>
        <v>17.256</v>
      </c>
      <c r="C19" s="8" cm="1">
        <f t="array" ref="C19">B19/G19*1000000</f>
        <v>100.383944153578</v>
      </c>
      <c r="D19" t="str" s="2" cm="1">
        <f t="array" ref="D19">IF(ISERROR(FIND("/",E19)),"No","Yes")</f>
        <v>Yes</v>
      </c>
      <c r="E19" t="s" s="7">
        <v>366</v>
      </c>
      <c r="F19" t="s" s="7">
        <v>12</v>
      </c>
      <c r="G19" s="10">
        <v>171900</v>
      </c>
      <c r="H19" t="s" s="7">
        <v>10</v>
      </c>
      <c r="I19" s="2"/>
      <c r="J19" s="2"/>
    </row>
    <row r="20" ht="13.55" customHeight="1">
      <c r="A20" t="s" s="7">
        <v>367</v>
      </c>
      <c r="B20" s="8" cm="1">
        <f t="array" ref="B20">AVERAGE(24.197,24.6)</f>
        <v>24.3985</v>
      </c>
      <c r="C20" s="8" cm="1">
        <f t="array" ref="C20">B20/G20*1000000</f>
        <v>99.0979098803441</v>
      </c>
      <c r="D20" t="str" s="2" cm="1">
        <f t="array" ref="D20">IF(ISERROR(FIND("/",E20)),"No","Yes")</f>
        <v>Yes</v>
      </c>
      <c r="E20" t="s" s="7">
        <v>368</v>
      </c>
      <c r="F20" t="s" s="7">
        <v>12</v>
      </c>
      <c r="G20" s="10">
        <v>246206</v>
      </c>
      <c r="H20" t="s" s="7">
        <v>10</v>
      </c>
      <c r="I20" s="2"/>
      <c r="J20" s="2"/>
    </row>
    <row r="21" ht="13.55" customHeight="1">
      <c r="A21" t="s" s="7">
        <v>369</v>
      </c>
      <c r="B21" s="8" cm="1">
        <f t="array" ref="B21">AVERAGE(22.919,22.965)</f>
        <v>22.942</v>
      </c>
      <c r="C21" s="8" cm="1">
        <f t="array" ref="C21">B21/G21*1000000</f>
        <v>86.1813783310669</v>
      </c>
      <c r="D21" t="str" s="2" cm="1">
        <f t="array" ref="D21">IF(ISERROR(FIND("/",E21)),"No","Yes")</f>
        <v>Yes</v>
      </c>
      <c r="E21" t="s" s="7">
        <v>360</v>
      </c>
      <c r="F21" t="s" s="7">
        <v>12</v>
      </c>
      <c r="G21" s="10">
        <v>266206</v>
      </c>
      <c r="H21" t="s" s="7">
        <v>10</v>
      </c>
      <c r="I21" s="13">
        <v>45192</v>
      </c>
      <c r="J21" s="2"/>
    </row>
    <row r="22" ht="13.55" customHeight="1">
      <c r="A22" t="s" s="7">
        <v>370</v>
      </c>
      <c r="B22" s="8" cm="1">
        <f t="array" ref="B22">AVERAGE(56.342,56.687)</f>
        <v>56.5145</v>
      </c>
      <c r="C22" s="8" cm="1">
        <f t="array" ref="C22">B22/G22*1000000</f>
        <v>103.317184643510</v>
      </c>
      <c r="D22" t="str" s="2" cm="1">
        <f t="array" ref="D22">IF(ISERROR(FIND("/",E22)),"No","Yes")</f>
        <v>No</v>
      </c>
      <c r="E22" t="s" s="7">
        <v>371</v>
      </c>
      <c r="F22" t="s" s="7">
        <v>12</v>
      </c>
      <c r="G22" s="10">
        <v>547000</v>
      </c>
      <c r="H22" t="s" s="7">
        <v>10</v>
      </c>
      <c r="I22" s="11">
        <v>45366</v>
      </c>
      <c r="J22" s="2"/>
    </row>
    <row r="23" ht="13.55" customHeight="1">
      <c r="A23" t="s" s="7">
        <v>372</v>
      </c>
      <c r="B23" s="8" cm="1">
        <f t="array" ref="B23">AVERAGE(57.399,56.588)</f>
        <v>56.9935</v>
      </c>
      <c r="C23" s="8" cm="1">
        <f t="array" ref="C23">B23/G23*1000000</f>
        <v>93.5086136177194</v>
      </c>
      <c r="D23" t="str" s="2" cm="1">
        <f t="array" ref="D23">IF(ISERROR(FIND("/",E23)),"No","Yes")</f>
        <v>No</v>
      </c>
      <c r="E23" t="s" s="7">
        <v>373</v>
      </c>
      <c r="F23" t="s" s="7">
        <v>12</v>
      </c>
      <c r="G23" s="10">
        <v>609500</v>
      </c>
      <c r="H23" t="s" s="7">
        <v>10</v>
      </c>
      <c r="I23" s="11">
        <v>45367</v>
      </c>
      <c r="J23" s="2"/>
    </row>
    <row r="24" ht="13.55" customHeight="1">
      <c r="A24" t="s" s="7">
        <v>374</v>
      </c>
      <c r="B24" s="8" cm="1">
        <f t="array" ref="B24">AVERAGE(56.644,56.196)</f>
        <v>56.42</v>
      </c>
      <c r="C24" s="8" cm="1">
        <f t="array" ref="C24">B24/G24*1000000</f>
        <v>93.2407866468352</v>
      </c>
      <c r="D24" t="str" s="2" cm="1">
        <f t="array" ref="D24">IF(ISERROR(FIND("/",E24)),"No","Yes")</f>
        <v>No</v>
      </c>
      <c r="E24" t="s" s="7">
        <v>375</v>
      </c>
      <c r="F24" t="s" s="7">
        <v>12</v>
      </c>
      <c r="G24" s="10">
        <v>605100</v>
      </c>
      <c r="H24" t="s" s="7">
        <v>10</v>
      </c>
      <c r="I24" s="11">
        <v>45368</v>
      </c>
      <c r="J24" s="2"/>
    </row>
    <row r="25" ht="13.55" customHeight="1">
      <c r="A25" t="s" s="7">
        <v>376</v>
      </c>
      <c r="B25" s="8" cm="1">
        <f t="array" ref="B25">AVERAGE(23.106,23.258)</f>
        <v>23.182</v>
      </c>
      <c r="C25" s="8" cm="1">
        <f t="array" ref="C25">B25/G25*1000000</f>
        <v>95.55647155812041</v>
      </c>
      <c r="D25" t="str" s="2" cm="1">
        <f t="array" ref="D25">IF(ISERROR(FIND("/",E25)),"No","Yes")</f>
        <v>No</v>
      </c>
      <c r="E25" t="s" s="7">
        <v>377</v>
      </c>
      <c r="F25" t="s" s="7">
        <v>55</v>
      </c>
      <c r="G25" s="10">
        <v>242600</v>
      </c>
      <c r="H25" t="s" s="7">
        <v>10</v>
      </c>
      <c r="I25" s="11">
        <v>45369</v>
      </c>
      <c r="J25" s="2"/>
    </row>
    <row r="26" ht="13.55" customHeight="1">
      <c r="A26" t="s" s="7">
        <v>378</v>
      </c>
      <c r="B26" s="8" cm="1">
        <f t="array" ref="B26">AVERAGE(47.6,47.79)</f>
        <v>47.695</v>
      </c>
      <c r="C26" s="8" cm="1">
        <f t="array" ref="C26">B26/G26*1000000</f>
        <v>91.7211538461538</v>
      </c>
      <c r="D26" t="str" s="2" cm="1">
        <f t="array" ref="D26">IF(ISERROR(FIND("/",E26)),"No","Yes")</f>
        <v>No</v>
      </c>
      <c r="E26" t="s" s="7">
        <v>379</v>
      </c>
      <c r="F26" t="s" s="7">
        <v>12</v>
      </c>
      <c r="G26" s="10">
        <v>520000</v>
      </c>
      <c r="H26" t="s" s="7">
        <v>10</v>
      </c>
      <c r="I26" s="11"/>
      <c r="J26" s="2"/>
    </row>
    <row r="27" ht="13.55" customHeight="1">
      <c r="A27" t="s" s="7">
        <v>380</v>
      </c>
      <c r="B27" s="8" cm="1">
        <f t="array" ref="B27">AVERAGE(24.712,24.77)</f>
        <v>24.741</v>
      </c>
      <c r="C27" s="8" cm="1">
        <f t="array" ref="C27">B27/G27*1000000</f>
        <v>90.890722467543</v>
      </c>
      <c r="D27" t="str" s="2" cm="1">
        <f t="array" ref="D27">IF(ISERROR(FIND("/",E27)),"No","Yes")</f>
        <v>Yes</v>
      </c>
      <c r="E27" t="s" s="7">
        <v>381</v>
      </c>
      <c r="F27" t="s" s="7">
        <v>12</v>
      </c>
      <c r="G27" s="10">
        <v>272206</v>
      </c>
      <c r="H27" t="s" s="7">
        <v>10</v>
      </c>
      <c r="I27" s="11">
        <v>45399</v>
      </c>
      <c r="J27" s="2"/>
    </row>
    <row r="28" ht="13.55" customHeight="1">
      <c r="A28" t="s" s="7">
        <v>382</v>
      </c>
      <c r="B28" s="8" cm="1">
        <f t="array" ref="B28">AVERAGE(27.722,27.509)</f>
        <v>27.6155</v>
      </c>
      <c r="C28" s="8" cm="1">
        <f t="array" ref="C28">B28/G28*1000000</f>
        <v>94.50889801505819</v>
      </c>
      <c r="D28" t="str" s="2" cm="1">
        <f t="array" ref="D28">IF(ISERROR(FIND("/",E28)),"No","Yes")</f>
        <v>Yes</v>
      </c>
      <c r="E28" t="s" s="7">
        <v>383</v>
      </c>
      <c r="F28" t="s" s="7">
        <v>12</v>
      </c>
      <c r="G28" s="10">
        <v>292200</v>
      </c>
      <c r="H28" t="s" s="7">
        <v>10</v>
      </c>
      <c r="I28" s="11">
        <v>45399</v>
      </c>
      <c r="J28" s="2"/>
    </row>
    <row r="29" ht="13.55" customHeight="1">
      <c r="A29" t="s" s="7">
        <v>384</v>
      </c>
      <c r="B29" s="8" cm="1">
        <f t="array" ref="B29">AVERAGE(31.019)</f>
        <v>31.019</v>
      </c>
      <c r="C29" s="8" cm="1">
        <f t="array" ref="C29">B29/G29*1000000</f>
        <v>106.484723652592</v>
      </c>
      <c r="D29" t="str" s="2" cm="1">
        <f t="array" ref="D29">IF(ISERROR(FIND("/",E29)),"No","Yes")</f>
        <v>No</v>
      </c>
      <c r="E29" t="s" s="7">
        <v>385</v>
      </c>
      <c r="F29" t="s" s="7">
        <v>55</v>
      </c>
      <c r="G29" s="10">
        <v>291300</v>
      </c>
      <c r="H29" t="s" s="7">
        <v>10</v>
      </c>
      <c r="I29" s="11">
        <v>45399</v>
      </c>
      <c r="J29" s="2"/>
    </row>
    <row r="30" ht="13.55" customHeight="1">
      <c r="A30" t="s" s="7">
        <v>386</v>
      </c>
      <c r="B30" s="8" cm="1">
        <f t="array" ref="B30">AVERAGE(57.681,56.611)</f>
        <v>57.146</v>
      </c>
      <c r="C30" s="8" cm="1">
        <f t="array" ref="C30">B30/G30*1000000</f>
        <v>88.694707434425</v>
      </c>
      <c r="D30" t="str" s="2" cm="1">
        <f t="array" ref="D30">IF(ISERROR(FIND("/",E30)),"No","Yes")</f>
        <v>No</v>
      </c>
      <c r="E30" t="s" s="7">
        <v>387</v>
      </c>
      <c r="F30" t="s" s="7">
        <v>12</v>
      </c>
      <c r="G30" s="10">
        <v>644300</v>
      </c>
      <c r="H30" t="s" s="7">
        <v>10</v>
      </c>
      <c r="I30" s="11">
        <v>45399</v>
      </c>
      <c r="J30" s="2"/>
    </row>
    <row r="31" ht="13.55" customHeight="1">
      <c r="A31" t="s" s="7">
        <v>388</v>
      </c>
      <c r="B31" s="8" cm="1">
        <f t="array" ref="B31">AVERAGE(58.351,59.82)</f>
        <v>59.0855</v>
      </c>
      <c r="C31" s="8" cm="1">
        <f t="array" ref="C31">B31/G31*1000000</f>
        <v>90.5941429009506</v>
      </c>
      <c r="D31" t="str" s="2" cm="1">
        <f t="array" ref="D31">IF(ISERROR(FIND("/",E31)),"No","Yes")</f>
        <v>No</v>
      </c>
      <c r="E31" t="s" s="7">
        <v>389</v>
      </c>
      <c r="F31" t="s" s="7">
        <v>12</v>
      </c>
      <c r="G31" s="10">
        <v>652200</v>
      </c>
      <c r="H31" t="s" s="7">
        <v>10</v>
      </c>
      <c r="I31" s="11">
        <v>45399</v>
      </c>
      <c r="J31" s="2"/>
    </row>
    <row r="32" ht="13.55" customHeight="1">
      <c r="A32" t="s" s="7">
        <v>390</v>
      </c>
      <c r="B32" s="8" cm="1">
        <f t="array" ref="B32">AVERAGE(23.704,23.692)</f>
        <v>23.698</v>
      </c>
      <c r="C32" s="8" cm="1">
        <f t="array" ref="C32">B32/G32*1000000</f>
        <v>85.7982809931718</v>
      </c>
      <c r="D32" t="str" s="2" cm="1">
        <f t="array" ref="D32">IF(ISERROR(FIND("/",E32)),"No","Yes")</f>
        <v>Yes</v>
      </c>
      <c r="E32" t="s" s="7">
        <v>391</v>
      </c>
      <c r="F32" t="s" s="7">
        <v>12</v>
      </c>
      <c r="G32" s="10">
        <v>276206</v>
      </c>
      <c r="H32" t="s" s="7">
        <v>10</v>
      </c>
      <c r="I32" s="11">
        <v>45399</v>
      </c>
      <c r="J32" s="2"/>
    </row>
    <row r="33" ht="13.55" customHeight="1">
      <c r="A33" t="s" s="7">
        <v>392</v>
      </c>
      <c r="B33" s="8" cm="1">
        <f t="array" ref="B33">AVERAGE(27.998,27.697)</f>
        <v>27.8475</v>
      </c>
      <c r="C33" s="8" cm="1">
        <f t="array" ref="C33">B33/G33*1000000</f>
        <v>95.8605851979346</v>
      </c>
      <c r="D33" t="str" s="2" cm="1">
        <f t="array" ref="D33">IF(ISERROR(FIND("/",E33)),"No","Yes")</f>
        <v>Yes</v>
      </c>
      <c r="E33" t="s" s="7">
        <v>393</v>
      </c>
      <c r="F33" t="s" s="7">
        <v>12</v>
      </c>
      <c r="G33" s="10">
        <v>290500</v>
      </c>
      <c r="H33" t="s" s="7">
        <v>10</v>
      </c>
      <c r="I33" s="11">
        <v>45399</v>
      </c>
      <c r="J33" s="2"/>
    </row>
    <row r="34" ht="13.55" customHeight="1">
      <c r="A34" t="s" s="7">
        <v>394</v>
      </c>
      <c r="B34" s="8" cm="1">
        <f t="array" ref="B34">AVERAGE(28.552,27.506)</f>
        <v>28.029</v>
      </c>
      <c r="C34" s="8" cm="1">
        <f t="array" ref="C34">B34/G34*1000000</f>
        <v>94.94918699186989</v>
      </c>
      <c r="D34" t="str" s="2" cm="1">
        <f t="array" ref="D34">IF(ISERROR(FIND("/",E34)),"No","Yes")</f>
        <v>No</v>
      </c>
      <c r="E34" t="s" s="7">
        <v>395</v>
      </c>
      <c r="F34" t="s" s="7">
        <v>55</v>
      </c>
      <c r="G34" s="10">
        <v>295200</v>
      </c>
      <c r="H34" t="s" s="7">
        <v>10</v>
      </c>
      <c r="I34" s="11">
        <v>45399</v>
      </c>
      <c r="J34" s="2"/>
    </row>
    <row r="35" ht="13.55" customHeight="1">
      <c r="A35" t="s" s="7">
        <v>396</v>
      </c>
      <c r="B35" s="8" cm="1">
        <f t="array" ref="B35">AVERAGE(55.303,56.415)</f>
        <v>55.859</v>
      </c>
      <c r="C35" s="8" cm="1">
        <f t="array" ref="C35">B35/G35*1000000</f>
        <v>86.1755630978093</v>
      </c>
      <c r="D35" t="str" s="2" cm="1">
        <f t="array" ref="D35">IF(ISERROR(FIND("/",E35)),"No","Yes")</f>
        <v>No</v>
      </c>
      <c r="E35" t="s" s="7">
        <v>397</v>
      </c>
      <c r="F35" t="s" s="7">
        <v>12</v>
      </c>
      <c r="G35" s="10">
        <v>648200</v>
      </c>
      <c r="H35" t="s" s="7">
        <v>10</v>
      </c>
      <c r="I35" s="11">
        <v>45399</v>
      </c>
      <c r="J35" s="2"/>
    </row>
    <row r="36" ht="13.55" customHeight="1">
      <c r="A36" t="s" s="7">
        <v>398</v>
      </c>
      <c r="B36" s="8" cm="1">
        <f t="array" ref="B36">AVERAGE(57.193,60.979,61.145)</f>
        <v>59.7723333333333</v>
      </c>
      <c r="C36" s="8" cm="1">
        <f t="array" ref="C36">B36/G36*1000000</f>
        <v>91.8867537791442</v>
      </c>
      <c r="D36" t="str" s="2" cm="1">
        <f t="array" ref="D36">IF(ISERROR(FIND("/",E36)),"No","Yes")</f>
        <v>No</v>
      </c>
      <c r="E36" t="s" s="7">
        <v>399</v>
      </c>
      <c r="F36" t="s" s="7">
        <v>12</v>
      </c>
      <c r="G36" s="10">
        <v>650500</v>
      </c>
      <c r="H36" t="s" s="7">
        <v>10</v>
      </c>
      <c r="I36" s="11">
        <v>45399</v>
      </c>
      <c r="J36" s="2"/>
    </row>
    <row r="37" ht="13.55" customHeight="1">
      <c r="A37" t="s" s="7">
        <v>400</v>
      </c>
      <c r="B37" s="2"/>
      <c r="C37" s="8" cm="1">
        <f t="array" ref="C37">B37/G37*1000000</f>
        <v>0</v>
      </c>
      <c r="D37" t="str" s="2" cm="1">
        <f t="array" ref="D37">IF(ISERROR(FIND("/",E37)),"No","Yes")</f>
        <v>No</v>
      </c>
      <c r="E37" t="s" s="7">
        <v>401</v>
      </c>
      <c r="F37" t="s" s="7">
        <v>55</v>
      </c>
      <c r="G37" s="10">
        <v>273400</v>
      </c>
      <c r="H37" t="s" s="7">
        <v>10</v>
      </c>
      <c r="I37" s="11">
        <v>45399</v>
      </c>
      <c r="J37" s="2"/>
    </row>
    <row r="38" ht="13.55" customHeight="1">
      <c r="A38" t="s" s="7">
        <v>402</v>
      </c>
      <c r="B38" s="2"/>
      <c r="C38" s="8" cm="1">
        <f t="array" ref="C38">B38/G38*1000000</f>
        <v>0</v>
      </c>
      <c r="D38" t="str" s="2" cm="1">
        <f t="array" ref="D38">IF(ISERROR(FIND("/",E38)),"No","Yes")</f>
        <v>No</v>
      </c>
      <c r="E38" t="s" s="7">
        <v>403</v>
      </c>
      <c r="F38" t="s" s="7">
        <v>55</v>
      </c>
      <c r="G38" s="10">
        <v>300800</v>
      </c>
      <c r="H38" t="s" s="7">
        <v>10</v>
      </c>
      <c r="I38" s="11">
        <v>45399</v>
      </c>
      <c r="J38" s="2"/>
    </row>
    <row r="39" ht="13.55" customHeight="1">
      <c r="A39" t="s" s="7">
        <v>404</v>
      </c>
      <c r="B39" s="8" cm="1">
        <f t="array" ref="B39">AVERAGE(69.945,72.552,70.286)</f>
        <v>70.9276666666667</v>
      </c>
      <c r="C39" s="8" cm="1">
        <f t="array" ref="C39">B39/G39*1000000</f>
        <v>92.76440840526639</v>
      </c>
      <c r="D39" t="str" s="2" cm="1">
        <f t="array" ref="D39">IF(ISERROR(FIND("/",E39)),"No","Yes")</f>
        <v>No</v>
      </c>
      <c r="E39" t="s" s="7">
        <v>405</v>
      </c>
      <c r="F39" t="s" s="7">
        <v>406</v>
      </c>
      <c r="G39" s="10">
        <v>764600</v>
      </c>
      <c r="H39" t="s" s="7">
        <v>10</v>
      </c>
      <c r="I39" s="11">
        <v>45408</v>
      </c>
      <c r="J39" s="2"/>
    </row>
    <row r="40" ht="13.55" customHeight="1">
      <c r="A40" t="s" s="7">
        <v>407</v>
      </c>
      <c r="B40" s="8" cm="1">
        <f t="array" ref="B40">AVERAGE(72.941,73.948)</f>
        <v>73.44450000000001</v>
      </c>
      <c r="C40" s="8" cm="1">
        <f t="array" ref="C40">B40/G40*1000000</f>
        <v>93.2391773517837</v>
      </c>
      <c r="D40" t="str" s="2" cm="1">
        <f t="array" ref="D40">IF(ISERROR(FIND("/",E40)),"No","Yes")</f>
        <v>No</v>
      </c>
      <c r="E40" t="s" s="7">
        <v>408</v>
      </c>
      <c r="F40" t="s" s="7">
        <v>406</v>
      </c>
      <c r="G40" s="10">
        <v>787700</v>
      </c>
      <c r="H40" t="s" s="7">
        <v>10</v>
      </c>
      <c r="I40" s="11">
        <v>45408</v>
      </c>
      <c r="J40" s="2"/>
    </row>
    <row r="41" ht="13.55" customHeight="1">
      <c r="A41" t="s" s="7">
        <v>409</v>
      </c>
      <c r="B41" s="8" cm="1">
        <f t="array" ref="B41">AVERAGE(76.51,77.878)</f>
        <v>77.194</v>
      </c>
      <c r="C41" s="8" cm="1">
        <f t="array" ref="C41">B41/G41*1000000</f>
        <v>96.1080677290837</v>
      </c>
      <c r="D41" t="str" s="2" cm="1">
        <f t="array" ref="D41">IF(ISERROR(FIND("/",E41)),"No","Yes")</f>
        <v>No</v>
      </c>
      <c r="E41" t="s" s="7">
        <v>410</v>
      </c>
      <c r="F41" t="s" s="7">
        <v>406</v>
      </c>
      <c r="G41" s="10">
        <v>803200</v>
      </c>
      <c r="H41" t="s" s="7">
        <v>10</v>
      </c>
      <c r="I41" s="11">
        <v>45408</v>
      </c>
      <c r="J41" s="2"/>
    </row>
    <row r="42" ht="13.55" customHeight="1">
      <c r="A42" t="s" s="7">
        <v>411</v>
      </c>
      <c r="B42" s="8" cm="1">
        <f t="array" ref="B42">AVERAGE(77.826,77.704)</f>
        <v>77.765</v>
      </c>
      <c r="C42" s="8" cm="1">
        <f t="array" ref="C42">B42/G42*1000000</f>
        <v>93.1987056567593</v>
      </c>
      <c r="D42" t="str" s="2" cm="1">
        <f t="array" ref="D42">IF(ISERROR(FIND("/",E42)),"No","Yes")</f>
        <v>No</v>
      </c>
      <c r="E42" t="s" s="7">
        <v>412</v>
      </c>
      <c r="F42" t="s" s="7">
        <v>406</v>
      </c>
      <c r="G42" s="10">
        <v>834400</v>
      </c>
      <c r="H42" t="s" s="7">
        <v>10</v>
      </c>
      <c r="I42" s="11">
        <v>45408</v>
      </c>
      <c r="J42" s="2"/>
    </row>
    <row r="43" ht="13.55" customHeight="1">
      <c r="A43" t="s" s="7">
        <v>413</v>
      </c>
      <c r="B43" s="8" cm="1">
        <f t="array" ref="B43">AVERAGE(11.7,11.7,11.4)</f>
        <v>11.6</v>
      </c>
      <c r="C43" s="8" cm="1">
        <f t="array" ref="C43">B43/G43*1000000</f>
        <v>12.0921505264255</v>
      </c>
      <c r="D43" t="str" s="2" cm="1">
        <f t="array" ref="D43">IF(ISERROR(FIND("/",E43)),"No","Yes")</f>
        <v>No</v>
      </c>
      <c r="E43" t="s" s="7">
        <v>414</v>
      </c>
      <c r="F43" t="s" s="7">
        <v>36</v>
      </c>
      <c r="G43" s="10">
        <v>959300</v>
      </c>
      <c r="H43" t="s" s="7">
        <v>10</v>
      </c>
      <c r="I43" s="11">
        <v>45419</v>
      </c>
      <c r="J43" s="2"/>
    </row>
    <row r="44" ht="13.55" customHeight="1">
      <c r="A44" t="s" s="7">
        <v>415</v>
      </c>
      <c r="B44" s="8" cm="1">
        <f t="array" ref="B44">AVERAGE(54.1,53.2)</f>
        <v>53.65</v>
      </c>
      <c r="C44" s="8" cm="1">
        <f t="array" ref="C44">B44/G44*1000000</f>
        <v>54.7058223717753</v>
      </c>
      <c r="D44" t="str" s="2" cm="1">
        <f t="array" ref="D44">IF(ISERROR(FIND("/",E44)),"No","Yes")</f>
        <v>No</v>
      </c>
      <c r="E44" t="s" s="7">
        <v>416</v>
      </c>
      <c r="F44" t="s" s="7">
        <v>36</v>
      </c>
      <c r="G44" s="10">
        <v>980700</v>
      </c>
      <c r="H44" t="s" s="7">
        <v>10</v>
      </c>
      <c r="I44" s="11">
        <v>45419</v>
      </c>
      <c r="J44" s="2"/>
    </row>
    <row r="45" ht="13.55" customHeight="1">
      <c r="A45" t="s" s="7">
        <v>417</v>
      </c>
      <c r="B45" s="8" cm="1">
        <f t="array" ref="B45">AVERAGE(59.357,60.085)</f>
        <v>59.721</v>
      </c>
      <c r="C45" s="8" cm="1">
        <f t="array" ref="C45">B45/G45*1000000</f>
        <v>97.3288787483703</v>
      </c>
      <c r="D45" t="str" s="2" cm="1">
        <f t="array" ref="D45">IF(ISERROR(FIND("/",E45)),"No","Yes")</f>
        <v>No</v>
      </c>
      <c r="E45" t="s" s="7">
        <v>418</v>
      </c>
      <c r="F45" t="s" s="7">
        <v>406</v>
      </c>
      <c r="G45" s="10">
        <v>613600</v>
      </c>
      <c r="H45" t="s" s="7">
        <v>10</v>
      </c>
      <c r="I45" s="11">
        <v>45423</v>
      </c>
      <c r="J45" s="2"/>
    </row>
    <row r="46" ht="13.55" customHeight="1">
      <c r="A46" t="s" s="7">
        <v>419</v>
      </c>
      <c r="B46" s="8" cm="1">
        <f t="array" ref="B46">AVERAGE(66.549,66.676)</f>
        <v>66.6125</v>
      </c>
      <c r="C46" s="8" cm="1">
        <f t="array" ref="C46">B46/G46*1000000</f>
        <v>108.365869529852</v>
      </c>
      <c r="D46" t="str" s="2" cm="1">
        <f t="array" ref="D46">IF(ISERROR(FIND("/",E46)),"No","Yes")</f>
        <v>No</v>
      </c>
      <c r="E46" t="s" s="7">
        <v>420</v>
      </c>
      <c r="F46" t="s" s="7">
        <v>406</v>
      </c>
      <c r="G46" s="10">
        <v>614700</v>
      </c>
      <c r="H46" t="s" s="7">
        <v>10</v>
      </c>
      <c r="I46" s="11">
        <v>45423</v>
      </c>
      <c r="J46" s="2"/>
    </row>
    <row r="47" ht="13.55" customHeight="1">
      <c r="A47" t="s" s="7">
        <v>421</v>
      </c>
      <c r="B47" s="8" cm="1">
        <f t="array" ref="B47">AVERAGE(24.321,24.175)</f>
        <v>24.248</v>
      </c>
      <c r="C47" s="8" cm="1">
        <f t="array" ref="C47">B47/G47*1000000</f>
        <v>100.361745983130</v>
      </c>
      <c r="D47" t="str" s="2" cm="1">
        <f t="array" ref="D47">IF(ISERROR(FIND("/",E47)),"No","Yes")</f>
        <v>Yes</v>
      </c>
      <c r="E47" t="s" s="7">
        <v>422</v>
      </c>
      <c r="F47" t="s" s="7">
        <v>406</v>
      </c>
      <c r="G47" s="10">
        <v>241606</v>
      </c>
      <c r="H47" t="s" s="7">
        <v>10</v>
      </c>
      <c r="I47" s="11">
        <v>45423</v>
      </c>
      <c r="J47" s="2"/>
    </row>
    <row r="48" ht="13.55" customHeight="1">
      <c r="A48" t="s" s="7">
        <v>423</v>
      </c>
      <c r="B48" s="8" cm="1">
        <f t="array" ref="B48">AVERAGE(19.657,19.521)</f>
        <v>19.589</v>
      </c>
      <c r="C48" s="8" cm="1">
        <f t="array" ref="C48">B48/G48*1000000</f>
        <v>76.9100903023165</v>
      </c>
      <c r="D48" t="str" s="2" cm="1">
        <f t="array" ref="D48">IF(ISERROR(FIND("/",E48)),"No","Yes")</f>
        <v>Yes</v>
      </c>
      <c r="E48" t="s" s="7">
        <v>424</v>
      </c>
      <c r="F48" t="s" s="7">
        <v>406</v>
      </c>
      <c r="G48" s="10">
        <v>254700</v>
      </c>
      <c r="H48" t="s" s="7">
        <v>10</v>
      </c>
      <c r="I48" s="11">
        <v>45423</v>
      </c>
      <c r="J48" s="2"/>
    </row>
    <row r="49" ht="13.55" customHeight="1">
      <c r="A49" t="s" s="7">
        <v>425</v>
      </c>
      <c r="B49" s="8" cm="1">
        <f t="array" ref="B49">AVERAGE(26.071,26.036)</f>
        <v>26.0535</v>
      </c>
      <c r="C49" s="8" cm="1">
        <f t="array" ref="C49">B49/G49*1000000</f>
        <v>99.9750575594781</v>
      </c>
      <c r="D49" t="str" s="2" cm="1">
        <f t="array" ref="D49">IF(ISERROR(FIND("/",E49)),"No","Yes")</f>
        <v>No</v>
      </c>
      <c r="E49" t="s" s="7">
        <v>426</v>
      </c>
      <c r="F49" t="s" s="7">
        <v>55</v>
      </c>
      <c r="G49" s="10">
        <v>260600</v>
      </c>
      <c r="H49" t="s" s="7">
        <v>10</v>
      </c>
      <c r="I49" s="11">
        <v>45423</v>
      </c>
      <c r="J49" s="2"/>
    </row>
    <row r="50" ht="13.55" customHeight="1">
      <c r="A50" t="s" s="7">
        <v>427</v>
      </c>
      <c r="B50" s="8" cm="1">
        <f t="array" ref="B50">AVERAGE(63.229,62.637)</f>
        <v>62.933</v>
      </c>
      <c r="C50" s="8" cm="1">
        <f t="array" ref="C50">B50/G50*1000000</f>
        <v>99.8207657900581</v>
      </c>
      <c r="D50" t="str" s="2" cm="1">
        <f t="array" ref="D50">IF(ISERROR(FIND("/",E50)),"No","Yes")</f>
        <v>Yes</v>
      </c>
      <c r="E50" t="s" s="7">
        <v>428</v>
      </c>
      <c r="F50" t="s" s="7">
        <v>406</v>
      </c>
      <c r="G50" s="10">
        <v>630460</v>
      </c>
      <c r="H50" t="s" s="7">
        <v>10</v>
      </c>
      <c r="I50" s="11">
        <v>45423</v>
      </c>
      <c r="J50" s="2"/>
    </row>
    <row r="51" ht="13.55" customHeight="1">
      <c r="A51" t="s" s="7">
        <v>429</v>
      </c>
      <c r="B51" s="8" cm="1">
        <f t="array" ref="B51">AVERAGE(60.172,60.569)</f>
        <v>60.3705</v>
      </c>
      <c r="C51" s="8" cm="1">
        <f t="array" ref="C51">B51/G51*1000000</f>
        <v>95.28773912494481</v>
      </c>
      <c r="D51" t="str" s="2" cm="1">
        <f t="array" ref="D51">IF(ISERROR(FIND("/",E51)),"No","Yes")</f>
        <v>Yes</v>
      </c>
      <c r="E51" t="s" s="7">
        <v>430</v>
      </c>
      <c r="F51" t="s" s="7">
        <v>406</v>
      </c>
      <c r="G51" s="10">
        <v>633560</v>
      </c>
      <c r="H51" t="s" s="7">
        <v>10</v>
      </c>
      <c r="I51" s="11">
        <v>45423</v>
      </c>
      <c r="J51" s="2"/>
    </row>
    <row r="52" ht="13.55" customHeight="1">
      <c r="A52" t="s" s="7">
        <v>431</v>
      </c>
      <c r="B52" s="8" cm="1">
        <f t="array" ref="B52">AVERAGE(77.4,75.673)</f>
        <v>76.5365</v>
      </c>
      <c r="C52" s="8" cm="1">
        <f t="array" ref="C52">B52/G52*1000000</f>
        <v>79.78369644532469</v>
      </c>
      <c r="D52" t="str" s="2" cm="1">
        <f t="array" ref="D52">IF(ISERROR(FIND("/",E52)),"No","Yes")</f>
        <v>Yes</v>
      </c>
      <c r="E52" t="s" s="7">
        <v>432</v>
      </c>
      <c r="F52" t="s" s="7">
        <v>36</v>
      </c>
      <c r="G52" s="10">
        <v>959300</v>
      </c>
      <c r="H52" t="s" s="7">
        <v>10</v>
      </c>
      <c r="I52" s="11">
        <v>45446</v>
      </c>
      <c r="J52" s="2"/>
    </row>
    <row r="53" ht="13.55" customHeight="1">
      <c r="A53" t="s" s="7">
        <v>433</v>
      </c>
      <c r="B53" s="8" cm="1">
        <f t="array" ref="B53">AVERAGE(63.907,63.955)</f>
        <v>63.931</v>
      </c>
      <c r="C53" s="8" cm="1">
        <f t="array" ref="C53">B53/G53*1000000</f>
        <v>65.1891506067095</v>
      </c>
      <c r="D53" t="str" s="2" cm="1">
        <f t="array" ref="D53">IF(ISERROR(FIND("/",E53)),"No","Yes")</f>
        <v>Yes</v>
      </c>
      <c r="E53" t="s" s="7">
        <v>434</v>
      </c>
      <c r="F53" t="s" s="7">
        <v>36</v>
      </c>
      <c r="G53" s="10">
        <v>980700</v>
      </c>
      <c r="H53" t="s" s="7">
        <v>10</v>
      </c>
      <c r="I53" s="11">
        <v>45446</v>
      </c>
      <c r="J53" s="2"/>
    </row>
    <row r="54" ht="13.55" customHeight="1">
      <c r="A54" t="s" s="7">
        <v>435</v>
      </c>
      <c r="B54" s="8" cm="1">
        <f t="array" ref="B54">AVERAGE(59.032,59.308,59.737)</f>
        <v>59.359</v>
      </c>
      <c r="C54" s="8" cm="1">
        <f t="array" ref="C54">B54/G54*1000000</f>
        <v>84.03029445073609</v>
      </c>
      <c r="D54" t="str" s="2" cm="1">
        <f t="array" ref="D54">IF(ISERROR(FIND("/",E54)),"No","Yes")</f>
        <v>Yes</v>
      </c>
      <c r="E54" t="s" s="7">
        <v>436</v>
      </c>
      <c r="F54" t="s" s="7">
        <v>12</v>
      </c>
      <c r="G54" s="10">
        <v>706400</v>
      </c>
      <c r="H54" t="s" s="7">
        <v>10</v>
      </c>
      <c r="I54" s="11">
        <v>45446</v>
      </c>
      <c r="J54" s="2"/>
    </row>
    <row r="55" ht="13.55" customHeight="1">
      <c r="A55" t="s" s="7">
        <v>437</v>
      </c>
      <c r="B55" s="8" cm="1">
        <f t="array" ref="B55">AVERAGE(63.657,64.188)</f>
        <v>63.9225</v>
      </c>
      <c r="C55" s="8" cm="1">
        <f t="array" ref="C55">B55/G55*1000000</f>
        <v>85.1618705035971</v>
      </c>
      <c r="D55" t="str" s="2" cm="1">
        <f t="array" ref="D55">IF(ISERROR(FIND("/",E55)),"No","Yes")</f>
        <v>Yes</v>
      </c>
      <c r="E55" t="s" s="7">
        <v>438</v>
      </c>
      <c r="F55" t="s" s="7">
        <v>12</v>
      </c>
      <c r="G55" s="10">
        <v>750600</v>
      </c>
      <c r="H55" t="s" s="7">
        <v>10</v>
      </c>
      <c r="I55" s="11">
        <v>45446</v>
      </c>
      <c r="J55" s="2"/>
    </row>
    <row r="56" ht="13.55" customHeight="1">
      <c r="A56" t="s" s="7">
        <v>439</v>
      </c>
      <c r="B56" s="8" cm="1">
        <f t="array" ref="B56">AVERAGE(75.801,75.212)</f>
        <v>75.5065</v>
      </c>
      <c r="C56" s="8" cm="1">
        <f t="array" ref="C56">B56/G56*1000000</f>
        <v>87.4322603056971</v>
      </c>
      <c r="D56" t="str" s="2" cm="1">
        <f t="array" ref="D56">IF(ISERROR(FIND("/",E56)),"No","Yes")</f>
        <v>No</v>
      </c>
      <c r="E56" t="s" s="7">
        <v>440</v>
      </c>
      <c r="F56" t="s" s="7">
        <v>36</v>
      </c>
      <c r="G56" s="10">
        <v>863600</v>
      </c>
      <c r="H56" t="s" s="7">
        <v>10</v>
      </c>
      <c r="I56" s="11">
        <v>45446</v>
      </c>
      <c r="J56" s="2"/>
    </row>
    <row r="57" ht="13.55" customHeight="1">
      <c r="A57" t="s" s="7">
        <v>441</v>
      </c>
      <c r="B57" s="8" cm="1">
        <f t="array" ref="B57">AVERAGE(76.795,76.282)</f>
        <v>76.5385</v>
      </c>
      <c r="C57" s="8" cm="1">
        <f t="array" ref="C57">B57/G57*1000000</f>
        <v>86.3963201264251</v>
      </c>
      <c r="D57" t="str" s="2" cm="1">
        <f t="array" ref="D57">IF(ISERROR(FIND("/",E57)),"No","Yes")</f>
        <v>Yes</v>
      </c>
      <c r="E57" t="s" s="7">
        <v>442</v>
      </c>
      <c r="F57" t="s" s="7">
        <v>36</v>
      </c>
      <c r="G57" s="10">
        <v>885900</v>
      </c>
      <c r="H57" t="s" s="7">
        <v>10</v>
      </c>
      <c r="I57" s="11">
        <v>45446</v>
      </c>
      <c r="J57" s="2"/>
    </row>
    <row r="58" ht="13.55" customHeight="1">
      <c r="A58" t="s" s="7">
        <v>443</v>
      </c>
      <c r="B58" s="8" cm="1">
        <f t="array" ref="B58">AVERAGE(89.947,87.72)</f>
        <v>88.8335</v>
      </c>
      <c r="C58" s="8" cm="1">
        <f t="array" ref="C58">B58/G58*1000000</f>
        <v>366.172712283594</v>
      </c>
      <c r="D58" t="str" s="2" cm="1">
        <f t="array" ref="D58">IF(ISERROR(FIND("/",E58)),"No","Yes")</f>
        <v>No</v>
      </c>
      <c r="E58" t="s" s="7">
        <v>377</v>
      </c>
      <c r="F58" t="s" s="7">
        <v>55</v>
      </c>
      <c r="G58" s="10">
        <v>242600</v>
      </c>
      <c r="H58" t="s" s="7">
        <v>10</v>
      </c>
      <c r="I58" s="11">
        <v>45502</v>
      </c>
      <c r="J58" s="2"/>
    </row>
    <row r="59" ht="13.55" customHeight="1">
      <c r="A59" t="s" s="7">
        <v>444</v>
      </c>
      <c r="B59" s="8" cm="1">
        <f t="array" ref="B59">AVERAGE(89.553,89.554)</f>
        <v>89.5535</v>
      </c>
      <c r="C59" s="8" cm="1">
        <f t="array" ref="C59">B59/G59*1000000</f>
        <v>403.9400090212</v>
      </c>
      <c r="D59" t="str" s="2" cm="1">
        <f t="array" ref="D59">IF(ISERROR(FIND("/",E59)),"No","Yes")</f>
        <v>No</v>
      </c>
      <c r="E59" t="s" s="7">
        <v>445</v>
      </c>
      <c r="F59" t="s" s="7">
        <v>55</v>
      </c>
      <c r="G59" s="10">
        <v>221700</v>
      </c>
      <c r="H59" t="s" s="7">
        <v>10</v>
      </c>
      <c r="I59" s="11">
        <v>45502</v>
      </c>
      <c r="J59" s="2"/>
    </row>
    <row r="60" ht="13.55" customHeight="1">
      <c r="A60" t="s" s="7">
        <v>446</v>
      </c>
      <c r="B60" s="8" cm="1">
        <f t="array" ref="B60">AVERAGE(61.182,61.221)</f>
        <v>61.2015</v>
      </c>
      <c r="C60" s="8" cm="1">
        <f t="array" ref="C60">B60/G60*1000000</f>
        <v>93.65187452180569</v>
      </c>
      <c r="D60" t="str" s="2" cm="1">
        <f t="array" ref="D60">IF(ISERROR(FIND("/",E60)),"No","Yes")</f>
        <v>Yes</v>
      </c>
      <c r="E60" t="s" s="7">
        <v>447</v>
      </c>
      <c r="F60" t="s" s="7">
        <v>12</v>
      </c>
      <c r="G60" s="10">
        <v>653500</v>
      </c>
      <c r="H60" t="s" s="7">
        <v>10</v>
      </c>
      <c r="I60" s="11">
        <v>45506</v>
      </c>
      <c r="J60" s="2"/>
    </row>
    <row r="61" ht="13.55" customHeight="1">
      <c r="A61" t="s" s="7">
        <v>448</v>
      </c>
      <c r="B61" s="8" cm="1">
        <f t="array" ref="B61">AVERAGE(10.09,10.093,10.242)</f>
        <v>10.1416666666667</v>
      </c>
      <c r="C61" s="8" cm="1">
        <f t="array" ref="C61">B61/G61*1000000</f>
        <v>73.5970004837932</v>
      </c>
      <c r="D61" t="str" s="2" cm="1">
        <f t="array" ref="D61">IF(ISERROR(FIND("/",E61)),"No","Yes")</f>
        <v>Yes</v>
      </c>
      <c r="E61" t="s" s="7">
        <v>449</v>
      </c>
      <c r="F61" t="s" s="7">
        <v>12</v>
      </c>
      <c r="G61" s="10">
        <v>137800</v>
      </c>
      <c r="H61" t="s" s="7">
        <v>10</v>
      </c>
      <c r="I61" s="11">
        <v>45506</v>
      </c>
      <c r="J61" s="2"/>
    </row>
    <row r="62" ht="13.55" customHeight="1">
      <c r="A62" t="s" s="7">
        <v>450</v>
      </c>
      <c r="B62" s="8" cm="1">
        <f t="array" ref="B62">AVERAGE(25.807,25.771)</f>
        <v>25.789</v>
      </c>
      <c r="C62" s="8" cm="1">
        <f t="array" ref="C62">B62/G62*1000000</f>
        <v>94.4285369050845</v>
      </c>
      <c r="D62" t="str" s="2" cm="1">
        <f t="array" ref="D62">IF(ISERROR(FIND("/",E62)),"No","Yes")</f>
        <v>Yes</v>
      </c>
      <c r="E62" t="s" s="7">
        <v>451</v>
      </c>
      <c r="F62" t="s" s="7">
        <v>12</v>
      </c>
      <c r="G62" s="10">
        <v>273106</v>
      </c>
      <c r="H62" t="s" s="7">
        <v>10</v>
      </c>
      <c r="I62" s="11">
        <v>45506</v>
      </c>
      <c r="J62" s="2"/>
    </row>
    <row r="63" ht="13.55" customHeight="1">
      <c r="A63" t="s" s="7">
        <v>452</v>
      </c>
      <c r="B63" s="8" cm="1">
        <f t="array" ref="B63">AVERAGE(23.114,23.127)</f>
        <v>23.1205</v>
      </c>
      <c r="C63" s="8" cm="1">
        <f t="array" ref="C63">B63/G63*1000000</f>
        <v>107.337511606314</v>
      </c>
      <c r="D63" t="str" s="2" cm="1">
        <f t="array" ref="D63">IF(ISERROR(FIND("/",E63)),"No","Yes")</f>
        <v>No</v>
      </c>
      <c r="E63" t="s" s="7">
        <v>453</v>
      </c>
      <c r="F63" t="s" s="7">
        <v>55</v>
      </c>
      <c r="G63" s="10">
        <v>215400</v>
      </c>
      <c r="H63" t="s" s="7">
        <v>10</v>
      </c>
      <c r="I63" s="11">
        <v>45506</v>
      </c>
      <c r="J63" s="2"/>
    </row>
    <row r="64" ht="13.55" customHeight="1">
      <c r="A64" t="s" s="7">
        <v>454</v>
      </c>
      <c r="B64" s="8" cm="1">
        <f t="array" ref="B64">AVERAGE(59.629,60.043)</f>
        <v>59.836</v>
      </c>
      <c r="C64" s="8" cm="1">
        <f t="array" ref="C64">B64/G64*1000000</f>
        <v>89.93837366601529</v>
      </c>
      <c r="D64" t="str" s="2" cm="1">
        <f t="array" ref="D64">IF(ISERROR(FIND("/",E64)),"No","Yes")</f>
        <v>Yes</v>
      </c>
      <c r="E64" t="s" s="7">
        <v>455</v>
      </c>
      <c r="F64" t="s" s="7">
        <v>12</v>
      </c>
      <c r="G64" s="10">
        <v>665300</v>
      </c>
      <c r="H64" t="s" s="7">
        <v>10</v>
      </c>
      <c r="I64" s="11">
        <v>45506</v>
      </c>
      <c r="J64" s="2"/>
    </row>
    <row r="65" ht="13.55" customHeight="1">
      <c r="A65" t="s" s="7">
        <v>456</v>
      </c>
      <c r="B65" s="8" cm="1">
        <f t="array" ref="B65">AVERAGE(67.894,67.486)</f>
        <v>67.69</v>
      </c>
      <c r="C65" s="8" cm="1">
        <f t="array" ref="C65">B65/G65*1000000</f>
        <v>90.8834586466165</v>
      </c>
      <c r="D65" t="str" s="2" cm="1">
        <f t="array" ref="D65">IF(ISERROR(FIND("/",E65)),"No","Yes")</f>
        <v>Yes</v>
      </c>
      <c r="E65" t="s" s="7">
        <v>457</v>
      </c>
      <c r="F65" t="s" s="7">
        <v>12</v>
      </c>
      <c r="G65" s="10">
        <v>744800</v>
      </c>
      <c r="H65" t="s" s="7">
        <v>10</v>
      </c>
      <c r="I65" s="11">
        <v>45506</v>
      </c>
      <c r="J65" s="2"/>
    </row>
    <row r="66" ht="13.55" customHeight="1">
      <c r="A66" t="s" s="7">
        <v>458</v>
      </c>
      <c r="B66" s="8" cm="1">
        <f t="array" ref="B66">AVERAGE(55.117,54.441)</f>
        <v>54.779</v>
      </c>
      <c r="C66" s="8" cm="1">
        <f t="array" ref="C66">B66/G66*1000000</f>
        <v>96.3740323715693</v>
      </c>
      <c r="D66" t="str" s="2" cm="1">
        <f t="array" ref="D66">IF(ISERROR(FIND("/",E66)),"No","Yes")</f>
        <v>No</v>
      </c>
      <c r="E66" t="s" s="7">
        <v>459</v>
      </c>
      <c r="F66" t="s" s="7">
        <v>12</v>
      </c>
      <c r="G66" s="10">
        <v>568400</v>
      </c>
      <c r="H66" t="s" s="7">
        <v>10</v>
      </c>
      <c r="I66" s="11">
        <v>45506</v>
      </c>
      <c r="J66" s="2"/>
    </row>
    <row r="67" ht="13.55" customHeight="1">
      <c r="A67" t="s" s="7">
        <v>460</v>
      </c>
      <c r="B67" s="8" cm="1">
        <f t="array" ref="B67">AVERAGE(56.19,56.643)</f>
        <v>56.4165</v>
      </c>
      <c r="C67" s="8" cm="1">
        <f t="array" ref="C67">B67/G67*1000000</f>
        <v>94.1373268813616</v>
      </c>
      <c r="D67" t="str" s="2" cm="1">
        <f t="array" ref="D67">IF(ISERROR(FIND("/",E67)),"No","Yes")</f>
        <v>No</v>
      </c>
      <c r="E67" t="s" s="7">
        <v>461</v>
      </c>
      <c r="F67" t="s" s="7">
        <v>12</v>
      </c>
      <c r="G67" s="10">
        <v>599300</v>
      </c>
      <c r="H67" t="s" s="7">
        <v>10</v>
      </c>
      <c r="I67" s="11">
        <v>45506</v>
      </c>
      <c r="J67" s="2"/>
    </row>
    <row r="68" ht="13.55" customHeight="1">
      <c r="A68" t="s" s="7">
        <v>462</v>
      </c>
      <c r="B68" s="8" cm="1">
        <f t="array" ref="B68">AVERAGE(15.269,15.382)</f>
        <v>15.3255</v>
      </c>
      <c r="C68" s="8" cm="1">
        <f t="array" ref="C68">B68/G68*1000000</f>
        <v>91.114744351962</v>
      </c>
      <c r="D68" t="str" s="2" cm="1">
        <f t="array" ref="D68">IF(ISERROR(FIND("/",E68)),"No","Yes")</f>
        <v>Yes</v>
      </c>
      <c r="E68" t="s" s="7">
        <v>463</v>
      </c>
      <c r="F68" t="s" s="7">
        <v>12</v>
      </c>
      <c r="G68" s="10">
        <v>168200</v>
      </c>
      <c r="H68" t="s" s="7">
        <v>10</v>
      </c>
      <c r="I68" s="11">
        <v>45506</v>
      </c>
      <c r="J68" s="2"/>
    </row>
    <row r="69" ht="13.55" customHeight="1">
      <c r="A69" t="s" s="7">
        <v>464</v>
      </c>
      <c r="B69" s="8" cm="1">
        <f t="array" ref="B69">AVERAGE(26.667,26.699)</f>
        <v>26.683</v>
      </c>
      <c r="C69" s="8" cm="1">
        <f t="array" ref="C69">B69/G69*1000000</f>
        <v>97.0975888444939</v>
      </c>
      <c r="D69" t="str" s="2" cm="1">
        <f t="array" ref="D69">IF(ISERROR(FIND("/",E69)),"No","Yes")</f>
        <v>Yes</v>
      </c>
      <c r="E69" t="s" s="7">
        <v>465</v>
      </c>
      <c r="F69" t="s" s="7">
        <v>12</v>
      </c>
      <c r="G69" s="10">
        <v>274806</v>
      </c>
      <c r="H69" t="s" s="7">
        <v>10</v>
      </c>
      <c r="I69" s="11">
        <v>45506</v>
      </c>
      <c r="J69" s="2"/>
    </row>
    <row r="70" ht="13.55" customHeight="1">
      <c r="A70" t="s" s="7">
        <v>466</v>
      </c>
      <c r="B70" s="8" cm="1">
        <f t="array" ref="B70">AVERAGE(21.043,20.846)</f>
        <v>20.9445</v>
      </c>
      <c r="C70" s="8" cm="1">
        <f t="array" ref="C70">B70/G70*1000000</f>
        <v>102.719470328592</v>
      </c>
      <c r="D70" t="str" s="2" cm="1">
        <f t="array" ref="D70">IF(ISERROR(FIND("/",E70)),"No","Yes")</f>
        <v>No</v>
      </c>
      <c r="E70" t="s" s="7">
        <v>467</v>
      </c>
      <c r="F70" t="s" s="7">
        <v>55</v>
      </c>
      <c r="G70" s="10">
        <v>203900</v>
      </c>
      <c r="H70" t="s" s="7">
        <v>10</v>
      </c>
      <c r="I70" s="11">
        <v>45506</v>
      </c>
      <c r="J70" s="2"/>
    </row>
    <row r="71" ht="13.55" customHeight="1">
      <c r="A71" t="s" s="7">
        <v>468</v>
      </c>
      <c r="B71" s="8" cm="1">
        <f t="array" ref="B71">AVERAGE(58.96,58.767)</f>
        <v>58.8635</v>
      </c>
      <c r="C71" s="8" cm="1">
        <f t="array" ref="C71">B71/G71*1000000</f>
        <v>90.0880012243649</v>
      </c>
      <c r="D71" t="str" s="2" cm="1">
        <f t="array" ref="D71">IF(ISERROR(FIND("/",E71)),"No","Yes")</f>
        <v>Yes</v>
      </c>
      <c r="E71" t="s" s="7">
        <v>469</v>
      </c>
      <c r="F71" t="s" s="7">
        <v>12</v>
      </c>
      <c r="G71" s="10">
        <v>653400</v>
      </c>
      <c r="H71" t="s" s="7">
        <v>10</v>
      </c>
      <c r="I71" s="11">
        <v>45506</v>
      </c>
      <c r="J71" s="2"/>
    </row>
    <row r="72" ht="13.55" customHeight="1">
      <c r="A72" t="s" s="7">
        <v>470</v>
      </c>
      <c r="B72" s="8" cm="1">
        <f t="array" ref="B72">AVERAGE(71.77,71.093)</f>
        <v>71.4315</v>
      </c>
      <c r="C72" s="8" cm="1">
        <f t="array" ref="C72">B72/G72*1000000</f>
        <v>95.6116985677955</v>
      </c>
      <c r="D72" t="str" s="2" cm="1">
        <f t="array" ref="D72">IF(ISERROR(FIND("/",E72)),"No","Yes")</f>
        <v>Yes</v>
      </c>
      <c r="E72" t="s" s="7">
        <v>471</v>
      </c>
      <c r="F72" t="s" s="7">
        <v>12</v>
      </c>
      <c r="G72" s="10">
        <v>747100</v>
      </c>
      <c r="H72" t="s" s="7">
        <v>10</v>
      </c>
      <c r="I72" s="11">
        <v>45506</v>
      </c>
      <c r="J72" s="2"/>
    </row>
    <row r="73" ht="13.55" customHeight="1">
      <c r="A73" t="s" s="7">
        <v>472</v>
      </c>
      <c r="B73" s="8" cm="1">
        <f t="array" ref="B73">AVERAGE(53.472,53.361)</f>
        <v>53.4165</v>
      </c>
      <c r="C73" s="8" cm="1">
        <f t="array" ref="C73">B73/G73*1000000</f>
        <v>95.91757945771231</v>
      </c>
      <c r="D73" t="str" s="2" cm="1">
        <f t="array" ref="D73">IF(ISERROR(FIND("/",E73)),"No","Yes")</f>
        <v>No</v>
      </c>
      <c r="E73" t="s" s="7">
        <v>473</v>
      </c>
      <c r="F73" t="s" s="7">
        <v>12</v>
      </c>
      <c r="G73" s="10">
        <v>556900</v>
      </c>
      <c r="H73" t="s" s="7">
        <v>10</v>
      </c>
      <c r="I73" s="11">
        <v>45506</v>
      </c>
      <c r="J73" s="2"/>
    </row>
    <row r="74" ht="13.55" customHeight="1">
      <c r="A74" t="s" s="7">
        <v>474</v>
      </c>
      <c r="B74" s="8" cm="1">
        <f t="array" ref="B74">AVERAGE(55.776,55.899)</f>
        <v>55.8375</v>
      </c>
      <c r="C74" s="8" cm="1">
        <f t="array" ref="C74">B74/G74*1000000</f>
        <v>92.9076539101498</v>
      </c>
      <c r="D74" t="str" s="2" cm="1">
        <f t="array" ref="D74">IF(ISERROR(FIND("/",E74)),"No","Yes")</f>
        <v>No</v>
      </c>
      <c r="E74" t="s" s="7">
        <v>475</v>
      </c>
      <c r="F74" t="s" s="7">
        <v>12</v>
      </c>
      <c r="G74" s="10">
        <v>601000</v>
      </c>
      <c r="H74" t="s" s="7">
        <v>10</v>
      </c>
      <c r="I74" s="11">
        <v>45506</v>
      </c>
      <c r="J74" s="2"/>
    </row>
    <row r="75" ht="13.55" customHeight="1">
      <c r="A75" t="s" s="7">
        <v>476</v>
      </c>
      <c r="B75" s="8" cm="1">
        <f t="array" ref="B75">AVERAGE(34.373,33.986)</f>
        <v>34.1795</v>
      </c>
      <c r="C75" s="8" cm="1">
        <f t="array" ref="C75">B75/G75*1000000</f>
        <v>83.8760736196319</v>
      </c>
      <c r="D75" t="str" s="2" cm="1">
        <f t="array" ref="D75">IF(ISERROR(FIND("/",E75)),"No","Yes")</f>
        <v>No</v>
      </c>
      <c r="E75" t="s" s="7">
        <v>477</v>
      </c>
      <c r="F75" t="s" s="7">
        <v>55</v>
      </c>
      <c r="G75" s="10">
        <v>407500</v>
      </c>
      <c r="H75" t="s" s="7">
        <v>10</v>
      </c>
      <c r="I75" s="11">
        <v>45602</v>
      </c>
      <c r="J75" s="2"/>
    </row>
    <row r="76" ht="13.55" customHeight="1">
      <c r="A76" t="s" s="7">
        <v>478</v>
      </c>
      <c r="B76" s="8" cm="1">
        <f t="array" ref="B76">AVERAGE(32.122,32.155)</f>
        <v>32.1385</v>
      </c>
      <c r="C76" s="8" cm="1">
        <f t="array" ref="C76">B76/G76*1000000</f>
        <v>85.2254044020154</v>
      </c>
      <c r="D76" t="str" s="2" cm="1">
        <f t="array" ref="D76">IF(ISERROR(FIND("/",E76)),"No","Yes")</f>
        <v>No</v>
      </c>
      <c r="E76" t="s" s="7">
        <v>479</v>
      </c>
      <c r="F76" t="s" s="7">
        <v>55</v>
      </c>
      <c r="G76" s="10">
        <v>377100</v>
      </c>
      <c r="H76" t="s" s="7">
        <v>10</v>
      </c>
      <c r="I76" s="11">
        <v>45602</v>
      </c>
      <c r="J76" s="2"/>
    </row>
    <row r="77" ht="13.55" customHeight="1">
      <c r="A77" t="s" s="7">
        <v>480</v>
      </c>
      <c r="B77" s="8" cm="1">
        <f t="array" ref="B77">AVERAGE(42.179,42.742)</f>
        <v>42.4605</v>
      </c>
      <c r="C77" s="8" cm="1">
        <f t="array" ref="C77">B77/G77*1000000</f>
        <v>93.93791232859741</v>
      </c>
      <c r="D77" t="str" s="2" cm="1">
        <f t="array" ref="D77">IF(ISERROR(FIND("/",E77)),"No","Yes")</f>
        <v>Yes</v>
      </c>
      <c r="E77" t="s" s="7">
        <v>481</v>
      </c>
      <c r="F77" t="s" s="7">
        <v>12</v>
      </c>
      <c r="G77" s="10">
        <v>452006</v>
      </c>
      <c r="H77" t="s" s="7">
        <v>10</v>
      </c>
      <c r="I77" s="11">
        <v>45602</v>
      </c>
      <c r="J77" s="2"/>
    </row>
    <row r="78" ht="13.55" customHeight="1">
      <c r="A78" t="s" s="7">
        <v>482</v>
      </c>
      <c r="B78" s="8" cm="1">
        <f t="array" ref="B78">AVERAGE(38.612,38.508)</f>
        <v>38.56</v>
      </c>
      <c r="C78" s="8" cm="1">
        <f t="array" ref="C78">B78/G78*1000000</f>
        <v>93.4108527131783</v>
      </c>
      <c r="D78" t="str" s="2" cm="1">
        <f t="array" ref="D78">IF(ISERROR(FIND("/",E78)),"No","Yes")</f>
        <v>Yes</v>
      </c>
      <c r="E78" t="s" s="7">
        <v>483</v>
      </c>
      <c r="F78" t="s" s="7">
        <v>12</v>
      </c>
      <c r="G78" s="10">
        <v>412800</v>
      </c>
      <c r="H78" t="s" s="7">
        <v>10</v>
      </c>
      <c r="I78" s="11">
        <v>45602</v>
      </c>
      <c r="J78" s="2"/>
    </row>
    <row r="79" ht="13.55" customHeight="1">
      <c r="A79" t="s" s="7">
        <v>484</v>
      </c>
      <c r="B79" s="8" cm="1">
        <f t="array" ref="B79">AVERAGE(58.083,57.962)</f>
        <v>58.0225</v>
      </c>
      <c r="C79" s="8" cm="1">
        <f t="array" ref="C79">B79/G79*1000000</f>
        <v>329.299091940976</v>
      </c>
      <c r="D79" t="str" s="2" cm="1">
        <f t="array" ref="D79">IF(ISERROR(FIND("/",E79)),"No","Yes")</f>
        <v>No</v>
      </c>
      <c r="E79" t="s" s="7">
        <v>485</v>
      </c>
      <c r="F79" t="s" s="7">
        <v>55</v>
      </c>
      <c r="G79" s="10">
        <v>176200</v>
      </c>
      <c r="H79" t="s" s="7">
        <v>10</v>
      </c>
      <c r="I79" s="11">
        <v>45602</v>
      </c>
      <c r="J79" s="2"/>
    </row>
    <row r="80" ht="13.55" customHeight="1">
      <c r="A80" t="s" s="7">
        <v>486</v>
      </c>
      <c r="B80" s="8" cm="1">
        <f t="array" ref="B80">AVERAGE(27.366,26.813)</f>
        <v>27.0895</v>
      </c>
      <c r="C80" s="8" cm="1">
        <f t="array" ref="C80">B80/G80*1000000</f>
        <v>88.050978849823</v>
      </c>
      <c r="D80" t="str" s="2" cm="1">
        <f t="array" ref="D80">IF(ISERROR(FIND("/",E80)),"No","Yes")</f>
        <v>Yes</v>
      </c>
      <c r="E80" t="s" s="7">
        <v>487</v>
      </c>
      <c r="F80" t="s" s="7">
        <v>12</v>
      </c>
      <c r="G80" s="10">
        <v>307657</v>
      </c>
      <c r="H80" t="s" s="7">
        <v>10</v>
      </c>
      <c r="I80" s="11">
        <v>45693</v>
      </c>
      <c r="J80" s="2"/>
    </row>
    <row r="81" ht="13.55" customHeight="1">
      <c r="A81" t="s" s="7">
        <v>488</v>
      </c>
      <c r="B81" s="8" cm="1">
        <f t="array" ref="B81">AVERAGE(84.192,84.235)</f>
        <v>84.2135</v>
      </c>
      <c r="C81" s="8" cm="1">
        <f t="array" ref="C81">B81/G81*1000000</f>
        <v>85.59152352881389</v>
      </c>
      <c r="D81" t="str" s="2" cm="1">
        <f t="array" ref="D81">IF(ISERROR(FIND("/",E81)),"No","Yes")</f>
        <v>Yes</v>
      </c>
      <c r="E81" t="s" s="7">
        <v>489</v>
      </c>
      <c r="F81" t="s" s="7">
        <v>36</v>
      </c>
      <c r="G81" s="10">
        <v>983900</v>
      </c>
      <c r="H81" t="s" s="7">
        <v>10</v>
      </c>
      <c r="I81" s="11">
        <v>45693</v>
      </c>
      <c r="J81" s="2"/>
    </row>
    <row r="82" ht="13.55" customHeight="1">
      <c r="A82" t="s" s="7">
        <v>490</v>
      </c>
      <c r="B82" s="8" cm="1">
        <f t="array" ref="B82">AVERAGE(59.069,60.295)</f>
        <v>59.682</v>
      </c>
      <c r="C82" s="8" cm="1">
        <f t="array" ref="C82">B82/G82*1000000</f>
        <v>90.53701456310679</v>
      </c>
      <c r="D82" t="str" s="2" cm="1">
        <f t="array" ref="D82">IF(ISERROR(FIND("/",E82)),"No","Yes")</f>
        <v>Yes</v>
      </c>
      <c r="E82" t="s" s="7">
        <v>491</v>
      </c>
      <c r="F82" t="s" s="7">
        <v>12</v>
      </c>
      <c r="G82" s="10">
        <v>659200</v>
      </c>
      <c r="H82" t="s" s="7">
        <v>10</v>
      </c>
      <c r="I82" s="11">
        <v>45693</v>
      </c>
      <c r="J82" s="2"/>
    </row>
    <row r="83" ht="13.55" customHeight="1">
      <c r="A83" t="s" s="7">
        <v>492</v>
      </c>
      <c r="B83" s="8" cm="1">
        <f t="array" ref="B83">AVERAGE(28.311,29.028)</f>
        <v>28.6695</v>
      </c>
      <c r="C83" s="8" cm="1">
        <f t="array" ref="C83">B83/G83*1000000</f>
        <v>99.85684729681719</v>
      </c>
      <c r="D83" t="str" s="2" cm="1">
        <f t="array" ref="D83">IF(ISERROR(FIND("/",E83)),"No","Yes")</f>
        <v>Yes</v>
      </c>
      <c r="E83" t="s" s="7">
        <v>493</v>
      </c>
      <c r="F83" t="s" s="7">
        <v>12</v>
      </c>
      <c r="G83" s="10">
        <v>287106</v>
      </c>
      <c r="H83" t="s" s="7">
        <v>10</v>
      </c>
      <c r="I83" s="11">
        <v>45751</v>
      </c>
      <c r="J83" s="2"/>
    </row>
    <row r="84" ht="13.55" customHeight="1">
      <c r="A84" t="s" s="7">
        <v>494</v>
      </c>
      <c r="B84" s="8" cm="1">
        <f t="array" ref="B84">AVERAGE(29.016,29.136)</f>
        <v>29.076</v>
      </c>
      <c r="C84" s="8" cm="1">
        <f t="array" ref="C84">B84/G84*1000000</f>
        <v>112.960372960373</v>
      </c>
      <c r="D84" t="str" s="2" cm="1">
        <f t="array" ref="D84">IF(ISERROR(FIND("/",E84)),"No","Yes")</f>
        <v>Yes</v>
      </c>
      <c r="E84" t="s" s="7">
        <v>495</v>
      </c>
      <c r="F84" t="s" s="7">
        <v>12</v>
      </c>
      <c r="G84" s="10">
        <v>257400</v>
      </c>
      <c r="H84" t="s" s="7">
        <v>10</v>
      </c>
      <c r="I84" s="11">
        <v>45751</v>
      </c>
      <c r="J84" s="2"/>
    </row>
    <row r="85" ht="13.55" customHeight="1">
      <c r="A85" t="s" s="7">
        <v>496</v>
      </c>
      <c r="B85" s="8" cm="1">
        <f t="array" ref="B85">AVERAGE(62.54,63.316)</f>
        <v>62.928</v>
      </c>
      <c r="C85" s="8" cm="1">
        <f t="array" ref="C85">B85/G85*1000000</f>
        <v>93.2957746478873</v>
      </c>
      <c r="D85" t="str" s="2" cm="1">
        <f t="array" ref="D85">IF(ISERROR(FIND("/",E85)),"No","Yes")</f>
        <v>No</v>
      </c>
      <c r="E85" t="s" s="7">
        <v>497</v>
      </c>
      <c r="F85" t="s" s="7">
        <v>55</v>
      </c>
      <c r="G85" s="10">
        <v>674500</v>
      </c>
      <c r="H85" t="s" s="7">
        <v>10</v>
      </c>
      <c r="I85" s="11">
        <v>45876</v>
      </c>
      <c r="J85" s="2"/>
    </row>
    <row r="86" ht="13.55" customHeight="1">
      <c r="A86" t="s" s="7">
        <v>498</v>
      </c>
      <c r="B86" s="8" cm="1">
        <f t="array" ref="B86">AVERAGE(63.209,63.733)</f>
        <v>63.471</v>
      </c>
      <c r="C86" s="8" cm="1">
        <f t="array" ref="C86">B86/G86*1000000</f>
        <v>91.2464059804485</v>
      </c>
      <c r="D86" t="str" s="2" cm="1">
        <f t="array" ref="D86">IF(ISERROR(FIND("/",E86)),"No","Yes")</f>
        <v>No</v>
      </c>
      <c r="E86" t="s" s="7">
        <v>499</v>
      </c>
      <c r="F86" t="s" s="7">
        <v>55</v>
      </c>
      <c r="G86" s="10">
        <v>695600</v>
      </c>
      <c r="H86" t="s" s="7">
        <v>10</v>
      </c>
      <c r="I86" s="11">
        <v>45876</v>
      </c>
      <c r="J86" s="2"/>
    </row>
    <row r="87" ht="13.55" customHeight="1">
      <c r="A87" t="s" s="7">
        <v>500</v>
      </c>
      <c r="B87" s="8" cm="1">
        <f t="array" ref="B87">AVERAGE(63.393,63.566)</f>
        <v>63.4795</v>
      </c>
      <c r="C87" s="8" cm="1">
        <f t="array" ref="C87">B87/G87*1000000</f>
        <v>89.29455619637081</v>
      </c>
      <c r="D87" t="str" s="2" cm="1">
        <f t="array" ref="D87">IF(ISERROR(FIND("/",E87)),"No","Yes")</f>
        <v>No</v>
      </c>
      <c r="E87" t="s" s="7">
        <v>501</v>
      </c>
      <c r="F87" t="s" s="7">
        <v>55</v>
      </c>
      <c r="G87" s="10">
        <v>710900</v>
      </c>
      <c r="H87" t="s" s="7">
        <v>10</v>
      </c>
      <c r="I87" s="11">
        <v>45876</v>
      </c>
      <c r="J87" s="2"/>
    </row>
    <row r="88" ht="13.55" customHeight="1">
      <c r="A88" t="s" s="7">
        <v>502</v>
      </c>
      <c r="B88" s="8" cm="1">
        <f t="array" ref="B88">AVERAGE(65.229,65.873)</f>
        <v>65.551</v>
      </c>
      <c r="C88" s="8" cm="1">
        <f t="array" ref="C88">B88/G88*1000000</f>
        <v>89.2822119313539</v>
      </c>
      <c r="D88" t="str" s="2" cm="1">
        <f t="array" ref="D88">IF(ISERROR(FIND("/",E88)),"No","Yes")</f>
        <v>No</v>
      </c>
      <c r="E88" t="s" s="7">
        <v>503</v>
      </c>
      <c r="F88" t="s" s="7">
        <v>55</v>
      </c>
      <c r="G88" s="10">
        <v>734200</v>
      </c>
      <c r="H88" t="s" s="7">
        <v>10</v>
      </c>
      <c r="I88" s="11">
        <v>45876</v>
      </c>
      <c r="J88" s="2"/>
    </row>
    <row r="89" ht="13.55" customHeight="1">
      <c r="A89" t="s" s="7">
        <v>504</v>
      </c>
      <c r="B89" s="8" cm="1">
        <f t="array" ref="B89">AVERAGE(55.413,54.856)</f>
        <v>55.1345</v>
      </c>
      <c r="C89" s="8" cm="1">
        <f t="array" ref="C89">B89/G89*1000000</f>
        <v>79.26178838412881</v>
      </c>
      <c r="D89" t="str" s="2" cm="1">
        <f t="array" ref="D89">IF(ISERROR(FIND("/",E89)),"No","Yes")</f>
        <v>No</v>
      </c>
      <c r="E89" t="s" s="7">
        <v>499</v>
      </c>
      <c r="F89" t="s" s="7">
        <v>12</v>
      </c>
      <c r="G89" s="10">
        <v>695600</v>
      </c>
      <c r="H89" t="s" s="7">
        <v>10</v>
      </c>
      <c r="I89" s="11">
        <v>45876</v>
      </c>
      <c r="J89" s="2"/>
    </row>
    <row r="90" ht="13.55" customHeight="1">
      <c r="A90" t="s" s="7">
        <v>505</v>
      </c>
      <c r="B90" s="8" cm="1">
        <f t="array" ref="B90">AVERAGE(52.586,52.887)</f>
        <v>52.7365</v>
      </c>
      <c r="C90" s="8" cm="1">
        <f t="array" ref="C90">B90/G90*1000000</f>
        <v>74.1827261218174</v>
      </c>
      <c r="D90" t="str" s="2" cm="1">
        <f t="array" ref="D90">IF(ISERROR(FIND("/",E90)),"No","Yes")</f>
        <v>No</v>
      </c>
      <c r="E90" t="s" s="7">
        <v>501</v>
      </c>
      <c r="F90" t="s" s="7">
        <v>12</v>
      </c>
      <c r="G90" s="10">
        <v>710900</v>
      </c>
      <c r="H90" t="s" s="7">
        <v>10</v>
      </c>
      <c r="I90" s="11">
        <v>45876</v>
      </c>
      <c r="J90" s="2"/>
    </row>
    <row r="91" ht="13.55" customHeight="1">
      <c r="A91" t="s" s="7">
        <v>506</v>
      </c>
      <c r="B91" s="8" cm="1">
        <f t="array" ref="B91">AVERAGE(54.968,55.516)</f>
        <v>55.242</v>
      </c>
      <c r="C91" s="8" cm="1">
        <f t="array" ref="C91">B91/G91*1000000</f>
        <v>75.241078725143</v>
      </c>
      <c r="D91" t="str" s="2" cm="1">
        <f t="array" ref="D91">IF(ISERROR(FIND("/",E91)),"No","Yes")</f>
        <v>No</v>
      </c>
      <c r="E91" t="s" s="7">
        <v>503</v>
      </c>
      <c r="F91" t="s" s="7">
        <v>12</v>
      </c>
      <c r="G91" s="10">
        <v>734200</v>
      </c>
      <c r="H91" t="s" s="7">
        <v>10</v>
      </c>
      <c r="I91" s="11">
        <v>45876</v>
      </c>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13"/>
      <c r="J110" s="2"/>
    </row>
    <row r="111" ht="13.55" customHeight="1">
      <c r="A111" s="2"/>
      <c r="B111" s="2"/>
      <c r="C111" s="2"/>
      <c r="D111" s="2"/>
      <c r="E111" s="2"/>
      <c r="F111" s="2"/>
      <c r="G111" s="3"/>
      <c r="H111" s="2"/>
      <c r="I111" s="13"/>
      <c r="J111" s="2"/>
    </row>
    <row r="112" ht="13.55" customHeight="1">
      <c r="A112" s="2"/>
      <c r="B112" s="2"/>
      <c r="C112" s="2"/>
      <c r="D112" s="2"/>
      <c r="E112" s="2"/>
      <c r="F112" s="2"/>
      <c r="G112" s="3"/>
      <c r="H112" s="2"/>
      <c r="I112" s="13"/>
      <c r="J112" s="2"/>
    </row>
    <row r="113" ht="13.55" customHeight="1">
      <c r="A113" s="2"/>
      <c r="B113" s="2"/>
      <c r="C113" s="2"/>
      <c r="D113" s="2"/>
      <c r="E113" s="2"/>
      <c r="F113" s="2"/>
      <c r="G113" s="3"/>
      <c r="H113" s="2"/>
      <c r="I113" s="13"/>
      <c r="J113" s="2"/>
    </row>
    <row r="114" ht="13.55" customHeight="1">
      <c r="A114" s="2"/>
      <c r="B114" s="2"/>
      <c r="C114" s="2"/>
      <c r="D114" s="2"/>
      <c r="E114" s="2"/>
      <c r="F114" s="2"/>
      <c r="G114" s="3"/>
      <c r="H114" s="2"/>
      <c r="I114" s="13"/>
      <c r="J114" s="2"/>
    </row>
    <row r="115" ht="13.55" customHeight="1">
      <c r="A115" s="2"/>
      <c r="B115" s="2"/>
      <c r="C115" s="2"/>
      <c r="D115" s="2"/>
      <c r="E115" s="2"/>
      <c r="F115" s="2"/>
      <c r="G115" s="3"/>
      <c r="H115" s="2"/>
      <c r="I115" s="13"/>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2"/>
      <c r="J118" s="2"/>
    </row>
    <row r="119" ht="13.55" customHeight="1">
      <c r="A119" s="2"/>
      <c r="B119" s="2"/>
      <c r="C119" s="2"/>
      <c r="D119" s="2"/>
      <c r="E119" s="2"/>
      <c r="F119" s="2"/>
      <c r="G119" s="3"/>
      <c r="H119" s="2"/>
      <c r="I119" s="2"/>
      <c r="J119" s="2"/>
    </row>
    <row r="120" ht="13.55" customHeight="1">
      <c r="A120" s="2"/>
      <c r="B120" s="2"/>
      <c r="C120" s="2"/>
      <c r="D120" s="2"/>
      <c r="E120" s="2"/>
      <c r="F120" s="2"/>
      <c r="G120" s="3"/>
      <c r="H120" s="2"/>
      <c r="I120" s="2"/>
      <c r="J120" s="2"/>
    </row>
    <row r="121" ht="13.55" customHeight="1">
      <c r="A121" s="2"/>
      <c r="B121" s="2"/>
      <c r="C121" s="2"/>
      <c r="D121" s="2"/>
      <c r="E121" s="2"/>
      <c r="F121" s="2"/>
      <c r="G121" s="3"/>
      <c r="H121" s="2"/>
      <c r="I121" s="2"/>
      <c r="J121" s="2"/>
    </row>
    <row r="122" ht="13.55" customHeight="1">
      <c r="A122" s="2"/>
      <c r="B122" s="2"/>
      <c r="C122" s="2"/>
      <c r="D122" s="2"/>
      <c r="E122" s="2"/>
      <c r="F122" s="2"/>
      <c r="G122" s="3"/>
      <c r="H122" s="2"/>
      <c r="I122" s="2"/>
      <c r="J122" s="2"/>
    </row>
    <row r="123" ht="13.55" customHeight="1">
      <c r="A123" s="2"/>
      <c r="B123" s="2"/>
      <c r="C123" s="2"/>
      <c r="D123" s="2"/>
      <c r="E123" s="2"/>
      <c r="F123" s="2"/>
      <c r="G123" s="3"/>
      <c r="H123" s="2"/>
      <c r="I123" s="2"/>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13"/>
      <c r="J132" s="2"/>
    </row>
    <row r="133" ht="13.55" customHeight="1">
      <c r="A133" s="2"/>
      <c r="B133" s="2"/>
      <c r="C133" s="2"/>
      <c r="D133" s="2"/>
      <c r="E133" s="2"/>
      <c r="F133" s="2"/>
      <c r="G133" s="3"/>
      <c r="H133" s="2"/>
      <c r="I133" s="13"/>
      <c r="J133" s="2"/>
    </row>
    <row r="134" ht="13.55" customHeight="1">
      <c r="A134" s="2"/>
      <c r="B134" s="2"/>
      <c r="C134" s="2"/>
      <c r="D134" s="2"/>
      <c r="E134" s="2"/>
      <c r="F134" s="2"/>
      <c r="G134" s="3"/>
      <c r="H134" s="2"/>
      <c r="I134" s="13"/>
      <c r="J134"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J140"/>
  <sheetViews>
    <sheetView workbookViewId="0" showGridLines="0" defaultGridColor="1"/>
  </sheetViews>
  <sheetFormatPr defaultColWidth="20.6667" defaultRowHeight="15" customHeight="1" outlineLevelRow="0" outlineLevelCol="0"/>
  <cols>
    <col min="1" max="1" width="24.5" style="26" customWidth="1"/>
    <col min="2" max="3" width="20.6719" style="26" customWidth="1"/>
    <col min="4" max="4" width="16.6719" style="26" customWidth="1"/>
    <col min="5" max="5" width="148" style="26" customWidth="1"/>
    <col min="6" max="10" width="20.6719" style="26" customWidth="1"/>
    <col min="11" max="16384" width="20.6719" style="26"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507</v>
      </c>
      <c r="B3" s="8">
        <v>14.635</v>
      </c>
      <c r="C3" s="8" cm="1">
        <f t="array" ref="C3">B3/G3*1000000</f>
        <v>86.7002369668246</v>
      </c>
      <c r="D3" t="str" s="2" cm="1">
        <f t="array" ref="D3">IF(ISERROR(FIND("/",E3)),"No","Yes")</f>
        <v>No</v>
      </c>
      <c r="E3" t="s" s="7">
        <v>508</v>
      </c>
      <c r="F3" t="s" s="7">
        <v>12</v>
      </c>
      <c r="G3" s="10">
        <v>168800</v>
      </c>
      <c r="H3" t="s" s="7">
        <v>10</v>
      </c>
      <c r="I3" s="2"/>
      <c r="J3" s="2"/>
    </row>
    <row r="4" ht="13.55" customHeight="1">
      <c r="A4" t="s" s="7">
        <v>509</v>
      </c>
      <c r="B4" s="8" cm="1">
        <f t="array" ref="B4">AVERAGE(42.662,43.03)</f>
        <v>42.846</v>
      </c>
      <c r="C4" s="8" cm="1">
        <f t="array" ref="C4">B4/G4*1000000</f>
        <v>162.850627137970</v>
      </c>
      <c r="D4" t="str" s="2" cm="1">
        <f t="array" ref="D4">IF(ISERROR(FIND("/",E4)),"No","Yes")</f>
        <v>No</v>
      </c>
      <c r="E4" t="s" s="7">
        <v>510</v>
      </c>
      <c r="F4" t="s" s="7">
        <v>55</v>
      </c>
      <c r="G4" s="10">
        <v>263100</v>
      </c>
      <c r="H4" t="s" s="7">
        <v>10</v>
      </c>
      <c r="I4" s="2"/>
      <c r="J4" s="2"/>
    </row>
    <row r="5" ht="13.55" customHeight="1">
      <c r="A5" t="s" s="7">
        <v>511</v>
      </c>
      <c r="B5" s="8" cm="1">
        <f t="array" ref="B5">AVERAGE(40.632,41.305)</f>
        <v>40.9685</v>
      </c>
      <c r="C5" s="8" cm="1">
        <f t="array" ref="C5">B5/G5*1000000</f>
        <v>159.100970873786</v>
      </c>
      <c r="D5" t="str" s="2" cm="1">
        <f t="array" ref="D5">IF(ISERROR(FIND("/",E5)),"No","Yes")</f>
        <v>No</v>
      </c>
      <c r="E5" t="s" s="7">
        <v>512</v>
      </c>
      <c r="F5" t="s" s="7">
        <v>55</v>
      </c>
      <c r="G5" s="10">
        <v>257500</v>
      </c>
      <c r="H5" t="s" s="7">
        <v>10</v>
      </c>
      <c r="I5" s="2"/>
      <c r="J5" s="2"/>
    </row>
    <row r="6" ht="13.55" customHeight="1">
      <c r="A6" t="s" s="7">
        <v>513</v>
      </c>
      <c r="B6" s="8" cm="1">
        <f t="array" ref="B6">AVERAGE(31.929,31.765)</f>
        <v>31.847</v>
      </c>
      <c r="C6" s="8" cm="1">
        <f t="array" ref="C6">B6/G6*1000000</f>
        <v>93.01109813084111</v>
      </c>
      <c r="D6" t="str" s="2" cm="1">
        <f t="array" ref="D6">IF(ISERROR(FIND("/",E6)),"No","Yes")</f>
        <v>No</v>
      </c>
      <c r="E6" t="s" s="7">
        <v>514</v>
      </c>
      <c r="F6" t="s" s="7">
        <v>55</v>
      </c>
      <c r="G6" s="10">
        <v>342400</v>
      </c>
      <c r="H6" t="s" s="7">
        <v>10</v>
      </c>
      <c r="I6" s="2"/>
      <c r="J6" s="2"/>
    </row>
    <row r="7" ht="13.55" customHeight="1">
      <c r="A7" t="s" s="7">
        <v>515</v>
      </c>
      <c r="B7" s="8" cm="1">
        <f t="array" ref="B7">AVERAGE(34.97,34.646)</f>
        <v>34.808</v>
      </c>
      <c r="C7" s="8" cm="1">
        <f t="array" ref="C7">B7/G7*1000000</f>
        <v>94.84468664850139</v>
      </c>
      <c r="D7" t="str" s="2" cm="1">
        <f t="array" ref="D7">IF(ISERROR(FIND("/",E7)),"No","Yes")</f>
        <v>No</v>
      </c>
      <c r="E7" t="s" s="7">
        <v>516</v>
      </c>
      <c r="F7" t="s" s="7">
        <v>55</v>
      </c>
      <c r="G7" s="10">
        <v>367000</v>
      </c>
      <c r="H7" t="s" s="7">
        <v>10</v>
      </c>
      <c r="I7" s="2"/>
      <c r="J7" s="2"/>
    </row>
    <row r="8" ht="13.55" customHeight="1">
      <c r="A8" s="2"/>
      <c r="B8" s="2"/>
      <c r="C8" s="2"/>
      <c r="D8" s="2"/>
      <c r="E8" s="2"/>
      <c r="F8" s="2"/>
      <c r="G8" s="3"/>
      <c r="H8" s="2"/>
      <c r="I8" s="2"/>
      <c r="J8" s="2"/>
    </row>
    <row r="9" ht="13.55" customHeight="1">
      <c r="A9" s="2"/>
      <c r="B9" s="2"/>
      <c r="C9" s="2"/>
      <c r="D9" s="2"/>
      <c r="E9" s="2"/>
      <c r="F9" s="2"/>
      <c r="G9" s="3"/>
      <c r="H9" s="2"/>
      <c r="I9" s="2"/>
      <c r="J9" s="2"/>
    </row>
    <row r="10" ht="13.55" customHeight="1">
      <c r="A10" s="2"/>
      <c r="B10" s="2"/>
      <c r="C10" s="2"/>
      <c r="D10" s="2"/>
      <c r="E10" s="2"/>
      <c r="F10" s="2"/>
      <c r="G10" s="3"/>
      <c r="H10" s="2"/>
      <c r="I10" s="2"/>
      <c r="J10" s="2"/>
    </row>
    <row r="11" ht="13.55" customHeight="1">
      <c r="A11" s="2"/>
      <c r="B11" s="2"/>
      <c r="C11" s="2"/>
      <c r="D11" s="2"/>
      <c r="E11" s="2"/>
      <c r="F11" s="2"/>
      <c r="G11" s="3"/>
      <c r="H11" s="2"/>
      <c r="I11" s="2"/>
      <c r="J11" s="2"/>
    </row>
    <row r="12" ht="13.55" customHeight="1">
      <c r="A12" s="2"/>
      <c r="B12" s="2"/>
      <c r="C12" s="2"/>
      <c r="D12" s="2"/>
      <c r="E12" s="2"/>
      <c r="F12" s="2"/>
      <c r="G12" s="3"/>
      <c r="H12" s="2"/>
      <c r="I12" s="2"/>
      <c r="J12" s="2"/>
    </row>
    <row r="13" ht="13.55" customHeight="1">
      <c r="A13" s="2"/>
      <c r="B13" s="2"/>
      <c r="C13" s="2"/>
      <c r="D13" s="2"/>
      <c r="E13" s="2"/>
      <c r="F13" s="2"/>
      <c r="G13" s="3"/>
      <c r="H13" s="2"/>
      <c r="I13" s="2"/>
      <c r="J13" s="2"/>
    </row>
    <row r="14" ht="13.55" customHeight="1">
      <c r="A14" s="2"/>
      <c r="B14" s="2"/>
      <c r="C14" s="2"/>
      <c r="D14" s="2"/>
      <c r="E14" s="2"/>
      <c r="F14" s="2"/>
      <c r="G14" s="3"/>
      <c r="H14" s="2"/>
      <c r="I14" s="2"/>
      <c r="J14" s="2"/>
    </row>
    <row r="15" ht="13.55" customHeight="1">
      <c r="A15" s="2"/>
      <c r="B15" s="2"/>
      <c r="C15" s="2"/>
      <c r="D15" s="2"/>
      <c r="E15" s="2"/>
      <c r="F15" s="2"/>
      <c r="G15" s="3"/>
      <c r="H15" s="2"/>
      <c r="I15" s="2"/>
      <c r="J15" s="2"/>
    </row>
    <row r="16" ht="13.55" customHeight="1">
      <c r="A16" s="2"/>
      <c r="B16" s="2"/>
      <c r="C16" s="2"/>
      <c r="D16" s="2"/>
      <c r="E16" s="2"/>
      <c r="F16" s="2"/>
      <c r="G16" s="3"/>
      <c r="H16" s="2"/>
      <c r="I16" s="2"/>
      <c r="J16" s="2"/>
    </row>
    <row r="17" ht="13.55" customHeight="1">
      <c r="A17" s="2"/>
      <c r="B17" s="2"/>
      <c r="C17" s="2"/>
      <c r="D17" s="2"/>
      <c r="E17" s="2"/>
      <c r="F17" s="2"/>
      <c r="G17" s="3"/>
      <c r="H17" s="2"/>
      <c r="I17" s="2"/>
      <c r="J17" s="2"/>
    </row>
    <row r="18" ht="13.55" customHeight="1">
      <c r="A18" s="2"/>
      <c r="B18" s="2"/>
      <c r="C18" s="2"/>
      <c r="D18" s="2"/>
      <c r="E18" s="2"/>
      <c r="F18" s="2"/>
      <c r="G18" s="3"/>
      <c r="H18" s="2"/>
      <c r="I18" s="2"/>
      <c r="J18" s="2"/>
    </row>
    <row r="19" ht="13.55" customHeight="1">
      <c r="A19" s="2"/>
      <c r="B19" s="2"/>
      <c r="C19" s="2"/>
      <c r="D19" s="2"/>
      <c r="E19" s="2"/>
      <c r="F19" s="2"/>
      <c r="G19" s="3"/>
      <c r="H19" s="2"/>
      <c r="I19" s="2"/>
      <c r="J19" s="2"/>
    </row>
    <row r="20" ht="13.55" customHeight="1">
      <c r="A20" s="2"/>
      <c r="B20" s="2"/>
      <c r="C20" s="2"/>
      <c r="D20" s="2"/>
      <c r="E20" s="2"/>
      <c r="F20" s="2"/>
      <c r="G20" s="3"/>
      <c r="H20" s="2"/>
      <c r="I20" s="2"/>
      <c r="J20" s="2"/>
    </row>
    <row r="21" ht="13.55" customHeight="1">
      <c r="A21" s="2"/>
      <c r="B21" s="2"/>
      <c r="C21" s="2"/>
      <c r="D21" s="2"/>
      <c r="E21" s="2"/>
      <c r="F21" s="2"/>
      <c r="G21" s="3"/>
      <c r="H21" s="2"/>
      <c r="I21" s="2"/>
      <c r="J21" s="2"/>
    </row>
    <row r="22" ht="13.55" customHeight="1">
      <c r="A22" s="2"/>
      <c r="B22" s="2"/>
      <c r="C22" s="2"/>
      <c r="D22" s="2"/>
      <c r="E22" s="2"/>
      <c r="F22" s="2"/>
      <c r="G22" s="3"/>
      <c r="H22" s="2"/>
      <c r="I22" s="2"/>
      <c r="J22" s="2"/>
    </row>
    <row r="23" ht="13.55" customHeight="1">
      <c r="A23" s="2"/>
      <c r="B23" s="2"/>
      <c r="C23" s="2"/>
      <c r="D23" s="2"/>
      <c r="E23" s="2"/>
      <c r="F23" s="2"/>
      <c r="G23" s="3"/>
      <c r="H23" s="2"/>
      <c r="I23" s="2"/>
      <c r="J23" s="2"/>
    </row>
    <row r="24" ht="13.55" customHeight="1">
      <c r="A24" s="2"/>
      <c r="B24" s="2"/>
      <c r="C24" s="2"/>
      <c r="D24" s="2"/>
      <c r="E24" s="2"/>
      <c r="F24" s="2"/>
      <c r="G24" s="3"/>
      <c r="H24" s="2"/>
      <c r="I24" s="2"/>
      <c r="J24" s="2"/>
    </row>
    <row r="25" ht="13.55" customHeight="1">
      <c r="A25" s="2"/>
      <c r="B25" s="2"/>
      <c r="C25" s="2"/>
      <c r="D25" s="2"/>
      <c r="E25" s="2"/>
      <c r="F25" s="2"/>
      <c r="G25" s="3"/>
      <c r="H25" s="2"/>
      <c r="I25" s="2"/>
      <c r="J25" s="2"/>
    </row>
    <row r="26" ht="13.55" customHeight="1">
      <c r="A26" s="2"/>
      <c r="B26" s="2"/>
      <c r="C26" s="2"/>
      <c r="D26" s="2"/>
      <c r="E26" s="2"/>
      <c r="F26" s="2"/>
      <c r="G26" s="3"/>
      <c r="H26" s="2"/>
      <c r="I26" s="2"/>
      <c r="J26" s="2"/>
    </row>
    <row r="27" ht="13.55" customHeight="1">
      <c r="A27" s="2"/>
      <c r="B27" s="2"/>
      <c r="C27" s="2"/>
      <c r="D27" s="2"/>
      <c r="E27" s="2"/>
      <c r="F27" s="2"/>
      <c r="G27" s="3"/>
      <c r="H27" s="2"/>
      <c r="I27" s="2"/>
      <c r="J27" s="2"/>
    </row>
    <row r="28" ht="13.55" customHeight="1">
      <c r="A28" s="2"/>
      <c r="B28" s="2"/>
      <c r="C28" s="2"/>
      <c r="D28" s="2"/>
      <c r="E28" s="2"/>
      <c r="F28" s="2"/>
      <c r="G28" s="3"/>
      <c r="H28" s="2"/>
      <c r="I28" s="2"/>
      <c r="J28" s="2"/>
    </row>
    <row r="29" ht="13.55" customHeight="1">
      <c r="A29" s="2"/>
      <c r="B29" s="2"/>
      <c r="C29" s="2"/>
      <c r="D29" s="2"/>
      <c r="E29" s="2"/>
      <c r="F29" s="2"/>
      <c r="G29" s="3"/>
      <c r="H29" s="2"/>
      <c r="I29" s="2"/>
      <c r="J29" s="2"/>
    </row>
    <row r="30" ht="13.55" customHeight="1">
      <c r="A30" s="2"/>
      <c r="B30" s="2"/>
      <c r="C30" s="2"/>
      <c r="D30" s="2"/>
      <c r="E30" s="2"/>
      <c r="F30" s="2"/>
      <c r="G30" s="3"/>
      <c r="H30" s="2"/>
      <c r="I30" s="2"/>
      <c r="J30" s="2"/>
    </row>
    <row r="31" ht="13.55" customHeight="1">
      <c r="A31" s="2"/>
      <c r="B31" s="2"/>
      <c r="C31" s="2"/>
      <c r="D31" s="2"/>
      <c r="E31" s="2"/>
      <c r="F31" s="2"/>
      <c r="G31" s="3"/>
      <c r="H31" s="2"/>
      <c r="I31" s="2"/>
      <c r="J31" s="2"/>
    </row>
    <row r="32" ht="13.55" customHeight="1">
      <c r="A32" s="2"/>
      <c r="B32" s="2"/>
      <c r="C32" s="2"/>
      <c r="D32" s="2"/>
      <c r="E32" s="2"/>
      <c r="F32" s="2"/>
      <c r="G32" s="3"/>
      <c r="H32" s="2"/>
      <c r="I32" s="2"/>
      <c r="J32" s="2"/>
    </row>
    <row r="33" ht="13.55" customHeight="1">
      <c r="A33" s="2"/>
      <c r="B33" s="2"/>
      <c r="C33" s="2"/>
      <c r="D33" s="2"/>
      <c r="E33" s="2"/>
      <c r="F33" s="2"/>
      <c r="G33" s="3"/>
      <c r="H33" s="2"/>
      <c r="I33" s="2"/>
      <c r="J33" s="2"/>
    </row>
    <row r="34" ht="13.55" customHeight="1">
      <c r="A34" s="2"/>
      <c r="B34" s="2"/>
      <c r="C34" s="2"/>
      <c r="D34" s="2"/>
      <c r="E34" s="2"/>
      <c r="F34" s="2"/>
      <c r="G34" s="3"/>
      <c r="H34" s="2"/>
      <c r="I34" s="2"/>
      <c r="J34" s="2"/>
    </row>
    <row r="35" ht="13.55" customHeight="1">
      <c r="A35" s="2"/>
      <c r="B35" s="2"/>
      <c r="C35" s="2"/>
      <c r="D35" s="2"/>
      <c r="E35" s="2"/>
      <c r="F35" s="2"/>
      <c r="G35" s="3"/>
      <c r="H35" s="2"/>
      <c r="I35" s="2"/>
      <c r="J35" s="2"/>
    </row>
    <row r="36" ht="13.55" customHeight="1">
      <c r="A36" s="2"/>
      <c r="B36" s="2"/>
      <c r="C36" s="2"/>
      <c r="D36" s="2"/>
      <c r="E36" s="2"/>
      <c r="F36" s="2"/>
      <c r="G36" s="3"/>
      <c r="H36" s="2"/>
      <c r="I36" s="2"/>
      <c r="J36" s="2"/>
    </row>
    <row r="37" ht="13.55" customHeight="1">
      <c r="A37" s="2"/>
      <c r="B37" s="2"/>
      <c r="C37" s="2"/>
      <c r="D37" s="2"/>
      <c r="E37" s="2"/>
      <c r="F37" s="2"/>
      <c r="G37" s="3"/>
      <c r="H37" s="2"/>
      <c r="I37" s="2"/>
      <c r="J37" s="2"/>
    </row>
    <row r="38" ht="13.55" customHeight="1">
      <c r="A38" s="2"/>
      <c r="B38" s="2"/>
      <c r="C38" s="2"/>
      <c r="D38" s="2"/>
      <c r="E38" s="2"/>
      <c r="F38" s="2"/>
      <c r="G38" s="3"/>
      <c r="H38" s="2"/>
      <c r="I38" s="2"/>
      <c r="J38" s="2"/>
    </row>
    <row r="39" ht="13.55" customHeight="1">
      <c r="A39" s="2"/>
      <c r="B39" s="2"/>
      <c r="C39" s="2"/>
      <c r="D39" s="2"/>
      <c r="E39" s="2"/>
      <c r="F39" s="2"/>
      <c r="G39" s="3"/>
      <c r="H39" s="2"/>
      <c r="I39" s="2"/>
      <c r="J39" s="2"/>
    </row>
    <row r="40" ht="13.55" customHeight="1">
      <c r="A40" s="2"/>
      <c r="B40" s="2"/>
      <c r="C40" s="2"/>
      <c r="D40" s="2"/>
      <c r="E40" s="2"/>
      <c r="F40" s="2"/>
      <c r="G40" s="3"/>
      <c r="H40" s="2"/>
      <c r="I40" s="2"/>
      <c r="J40" s="2"/>
    </row>
    <row r="41" ht="13.55" customHeight="1">
      <c r="A41" s="2"/>
      <c r="B41" s="2"/>
      <c r="C41" s="2"/>
      <c r="D41" s="2"/>
      <c r="E41" s="2"/>
      <c r="F41" s="2"/>
      <c r="G41" s="3"/>
      <c r="H41" s="2"/>
      <c r="I41" s="2"/>
      <c r="J41" s="2"/>
    </row>
    <row r="42" ht="13.55" customHeight="1">
      <c r="A42" s="2"/>
      <c r="B42" s="2"/>
      <c r="C42" s="2"/>
      <c r="D42" s="2"/>
      <c r="E42" s="2"/>
      <c r="F42" s="2"/>
      <c r="G42" s="3"/>
      <c r="H42" s="2"/>
      <c r="I42" s="2"/>
      <c r="J42" s="2"/>
    </row>
    <row r="43" ht="13.55" customHeight="1">
      <c r="A43" s="2"/>
      <c r="B43" s="2"/>
      <c r="C43" s="2"/>
      <c r="D43" s="2"/>
      <c r="E43" s="2"/>
      <c r="F43" s="2"/>
      <c r="G43" s="3"/>
      <c r="H43" s="2"/>
      <c r="I43" s="2"/>
      <c r="J43" s="2"/>
    </row>
    <row r="44" ht="13.55" customHeight="1">
      <c r="A44" s="2"/>
      <c r="B44" s="2"/>
      <c r="C44" s="2"/>
      <c r="D44" s="2"/>
      <c r="E44" s="2"/>
      <c r="F44" s="2"/>
      <c r="G44" s="3"/>
      <c r="H44" s="2"/>
      <c r="I44" s="2"/>
      <c r="J44" s="2"/>
    </row>
    <row r="45" ht="13.55" customHeight="1">
      <c r="A45" s="2"/>
      <c r="B45" s="2"/>
      <c r="C45" s="2"/>
      <c r="D45" s="2"/>
      <c r="E45" s="2"/>
      <c r="F45" s="2"/>
      <c r="G45" s="3"/>
      <c r="H45" s="2"/>
      <c r="I45" s="2"/>
      <c r="J45" s="2"/>
    </row>
    <row r="46" ht="13.55" customHeight="1">
      <c r="A46" s="2"/>
      <c r="B46" s="2"/>
      <c r="C46" s="2"/>
      <c r="D46" s="2"/>
      <c r="E46" s="2"/>
      <c r="F46" s="2"/>
      <c r="G46" s="3"/>
      <c r="H46" s="2"/>
      <c r="I46" s="2"/>
      <c r="J46" s="2"/>
    </row>
    <row r="47" ht="13.55" customHeight="1">
      <c r="A47" s="2"/>
      <c r="B47" s="2"/>
      <c r="C47" s="2"/>
      <c r="D47" s="2"/>
      <c r="E47" s="2"/>
      <c r="F47" s="2"/>
      <c r="G47" s="3"/>
      <c r="H47" s="2"/>
      <c r="I47" s="2"/>
      <c r="J47" s="2"/>
    </row>
    <row r="48" ht="13.55" customHeight="1">
      <c r="A48" s="2"/>
      <c r="B48" s="2"/>
      <c r="C48" s="2"/>
      <c r="D48" s="2"/>
      <c r="E48" s="2"/>
      <c r="F48" s="2"/>
      <c r="G48" s="3"/>
      <c r="H48" s="2"/>
      <c r="I48" s="2"/>
      <c r="J48" s="2"/>
    </row>
    <row r="49" ht="13.55" customHeight="1">
      <c r="A49" s="2"/>
      <c r="B49" s="2"/>
      <c r="C49" s="2"/>
      <c r="D49" s="2"/>
      <c r="E49" s="2"/>
      <c r="F49" s="2"/>
      <c r="G49" s="3"/>
      <c r="H49" s="2"/>
      <c r="I49" s="2"/>
      <c r="J49" s="2"/>
    </row>
    <row r="50" ht="13.55" customHeight="1">
      <c r="A50" s="2"/>
      <c r="B50" s="2"/>
      <c r="C50" s="2"/>
      <c r="D50" s="2"/>
      <c r="E50" s="2"/>
      <c r="F50" s="2"/>
      <c r="G50" s="3"/>
      <c r="H50" s="2"/>
      <c r="I50" s="2"/>
      <c r="J50" s="2"/>
    </row>
    <row r="51" ht="13.55" customHeight="1">
      <c r="A51" s="2"/>
      <c r="B51" s="2"/>
      <c r="C51" s="2"/>
      <c r="D51" s="2"/>
      <c r="E51" s="2"/>
      <c r="F51" s="2"/>
      <c r="G51" s="3"/>
      <c r="H51" s="2"/>
      <c r="I51" s="2"/>
      <c r="J51" s="2"/>
    </row>
    <row r="52" ht="13.55" customHeight="1">
      <c r="A52" s="2"/>
      <c r="B52" s="2"/>
      <c r="C52" s="2"/>
      <c r="D52" s="2"/>
      <c r="E52" s="2"/>
      <c r="F52" s="2"/>
      <c r="G52" s="3"/>
      <c r="H52" s="2"/>
      <c r="I52" s="2"/>
      <c r="J52" s="2"/>
    </row>
    <row r="53" ht="13.55" customHeight="1">
      <c r="A53" s="2"/>
      <c r="B53" s="2"/>
      <c r="C53" s="2"/>
      <c r="D53" s="2"/>
      <c r="E53" s="2"/>
      <c r="F53" s="2"/>
      <c r="G53" s="3"/>
      <c r="H53" s="2"/>
      <c r="I53" s="2"/>
      <c r="J53" s="2"/>
    </row>
    <row r="54" ht="13.55" customHeight="1">
      <c r="A54" s="2"/>
      <c r="B54" s="2"/>
      <c r="C54" s="2"/>
      <c r="D54" s="2"/>
      <c r="E54" s="2"/>
      <c r="F54" s="2"/>
      <c r="G54" s="3"/>
      <c r="H54" s="2"/>
      <c r="I54" s="2"/>
      <c r="J54" s="2"/>
    </row>
    <row r="55" ht="13.55" customHeight="1">
      <c r="A55" s="2"/>
      <c r="B55" s="2"/>
      <c r="C55" s="2"/>
      <c r="D55" s="2"/>
      <c r="E55" s="2"/>
      <c r="F55" s="2"/>
      <c r="G55" s="3"/>
      <c r="H55" s="2"/>
      <c r="I55" s="2"/>
      <c r="J55" s="2"/>
    </row>
    <row r="56" ht="13.55" customHeight="1">
      <c r="A56" s="2"/>
      <c r="B56" s="2"/>
      <c r="C56" s="2"/>
      <c r="D56" s="2"/>
      <c r="E56" s="2"/>
      <c r="F56" s="2"/>
      <c r="G56" s="3"/>
      <c r="H56" s="2"/>
      <c r="I56" s="2"/>
      <c r="J56" s="2"/>
    </row>
    <row r="57" ht="13.55" customHeight="1">
      <c r="A57" s="2"/>
      <c r="B57" s="2"/>
      <c r="C57" s="2"/>
      <c r="D57" s="2"/>
      <c r="E57" s="2"/>
      <c r="F57" s="2"/>
      <c r="G57" s="3"/>
      <c r="H57" s="2"/>
      <c r="I57" s="2"/>
      <c r="J57" s="2"/>
    </row>
    <row r="58" ht="13.55" customHeight="1">
      <c r="A58" s="2"/>
      <c r="B58" s="2"/>
      <c r="C58" s="2"/>
      <c r="D58" s="2"/>
      <c r="E58" s="2"/>
      <c r="F58" s="2"/>
      <c r="G58" s="3"/>
      <c r="H58" s="2"/>
      <c r="I58" s="2"/>
      <c r="J58" s="2"/>
    </row>
    <row r="59" ht="13.55" customHeight="1">
      <c r="A59" s="2"/>
      <c r="B59" s="2"/>
      <c r="C59" s="2"/>
      <c r="D59" s="2"/>
      <c r="E59" s="2"/>
      <c r="F59" s="2"/>
      <c r="G59" s="3"/>
      <c r="H59" s="2"/>
      <c r="I59" s="2"/>
      <c r="J59" s="2"/>
    </row>
    <row r="60" ht="13.55" customHeight="1">
      <c r="A60" s="2"/>
      <c r="B60" s="2"/>
      <c r="C60" s="2"/>
      <c r="D60" s="2"/>
      <c r="E60" s="2"/>
      <c r="F60" s="2"/>
      <c r="G60" s="3"/>
      <c r="H60" s="2"/>
      <c r="I60" s="2"/>
      <c r="J60" s="2"/>
    </row>
    <row r="61" ht="13.55" customHeight="1">
      <c r="A61" s="2"/>
      <c r="B61" s="2"/>
      <c r="C61" s="2"/>
      <c r="D61" s="2"/>
      <c r="E61" s="2"/>
      <c r="F61" s="2"/>
      <c r="G61" s="3"/>
      <c r="H61" s="2"/>
      <c r="I61" s="2"/>
      <c r="J61" s="2"/>
    </row>
    <row r="62" ht="13.55" customHeight="1">
      <c r="A62" s="2"/>
      <c r="B62" s="2"/>
      <c r="C62" s="2"/>
      <c r="D62" s="2"/>
      <c r="E62" s="2"/>
      <c r="F62" s="2"/>
      <c r="G62" s="3"/>
      <c r="H62" s="2"/>
      <c r="I62" s="2"/>
      <c r="J62" s="2"/>
    </row>
    <row r="63" ht="13.55" customHeight="1">
      <c r="A63" s="2"/>
      <c r="B63" s="2"/>
      <c r="C63" s="2"/>
      <c r="D63" s="2"/>
      <c r="E63" s="2"/>
      <c r="F63" s="2"/>
      <c r="G63" s="3"/>
      <c r="H63" s="2"/>
      <c r="I63" s="2"/>
      <c r="J63" s="2"/>
    </row>
    <row r="64" ht="13.55" customHeight="1">
      <c r="A64" s="2"/>
      <c r="B64" s="2"/>
      <c r="C64" s="2"/>
      <c r="D64" s="2"/>
      <c r="E64" s="2"/>
      <c r="F64" s="2"/>
      <c r="G64" s="3"/>
      <c r="H64" s="2"/>
      <c r="I64" s="2"/>
      <c r="J64" s="2"/>
    </row>
    <row r="65" ht="13.55" customHeight="1">
      <c r="A65" s="2"/>
      <c r="B65" s="2"/>
      <c r="C65" s="2"/>
      <c r="D65" s="2"/>
      <c r="E65" s="2"/>
      <c r="F65" s="2"/>
      <c r="G65" s="3"/>
      <c r="H65" s="2"/>
      <c r="I65" s="2"/>
      <c r="J65" s="2"/>
    </row>
    <row r="66" ht="13.55" customHeight="1">
      <c r="A66" s="2"/>
      <c r="B66" s="2"/>
      <c r="C66" s="2"/>
      <c r="D66" s="2"/>
      <c r="E66" s="2"/>
      <c r="F66" s="2"/>
      <c r="G66" s="3"/>
      <c r="H66" s="2"/>
      <c r="I66" s="2"/>
      <c r="J66" s="2"/>
    </row>
    <row r="67" ht="13.55" customHeight="1">
      <c r="A67" s="2"/>
      <c r="B67" s="2"/>
      <c r="C67" s="2"/>
      <c r="D67" s="2"/>
      <c r="E67" s="2"/>
      <c r="F67" s="2"/>
      <c r="G67" s="3"/>
      <c r="H67" s="2"/>
      <c r="I67" s="2"/>
      <c r="J67" s="2"/>
    </row>
    <row r="68" ht="13.55" customHeight="1">
      <c r="A68" s="2"/>
      <c r="B68" s="2"/>
      <c r="C68" s="2"/>
      <c r="D68" s="2"/>
      <c r="E68" s="2"/>
      <c r="F68" s="2"/>
      <c r="G68" s="3"/>
      <c r="H68" s="2"/>
      <c r="I68" s="2"/>
      <c r="J68" s="2"/>
    </row>
    <row r="69" ht="13.55" customHeight="1">
      <c r="A69" s="2"/>
      <c r="B69" s="2"/>
      <c r="C69" s="2"/>
      <c r="D69" s="2"/>
      <c r="E69" s="2"/>
      <c r="F69" s="2"/>
      <c r="G69" s="3"/>
      <c r="H69" s="2"/>
      <c r="I69" s="2"/>
      <c r="J69" s="2"/>
    </row>
    <row r="70" ht="13.55" customHeight="1">
      <c r="A70" s="2"/>
      <c r="B70" s="2"/>
      <c r="C70" s="2"/>
      <c r="D70" s="2"/>
      <c r="E70" s="2"/>
      <c r="F70" s="2"/>
      <c r="G70" s="3"/>
      <c r="H70" s="2"/>
      <c r="I70" s="2"/>
      <c r="J70" s="2"/>
    </row>
    <row r="71" ht="13.55" customHeight="1">
      <c r="A71" s="2"/>
      <c r="B71" s="2"/>
      <c r="C71" s="2"/>
      <c r="D71" s="2"/>
      <c r="E71" s="2"/>
      <c r="F71" s="2"/>
      <c r="G71" s="3"/>
      <c r="H71" s="2"/>
      <c r="I71" s="2"/>
      <c r="J71" s="2"/>
    </row>
    <row r="72" ht="13.55" customHeight="1">
      <c r="A72" s="2"/>
      <c r="B72" s="2"/>
      <c r="C72" s="2"/>
      <c r="D72" s="2"/>
      <c r="E72" s="2"/>
      <c r="F72" s="2"/>
      <c r="G72" s="3"/>
      <c r="H72" s="2"/>
      <c r="I72" s="2"/>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2"/>
      <c r="J104" s="2"/>
    </row>
    <row r="105" ht="13.55" customHeight="1">
      <c r="A105" s="2"/>
      <c r="B105" s="2"/>
      <c r="C105" s="2"/>
      <c r="D105" s="2"/>
      <c r="E105" s="2"/>
      <c r="F105" s="2"/>
      <c r="G105" s="3"/>
      <c r="H105" s="2"/>
      <c r="I105" s="2"/>
      <c r="J105" s="2"/>
    </row>
    <row r="106" ht="13.55" customHeight="1">
      <c r="A106" s="2"/>
      <c r="B106" s="2"/>
      <c r="C106" s="2"/>
      <c r="D106" s="2"/>
      <c r="E106" s="2"/>
      <c r="F106" s="2"/>
      <c r="G106" s="3"/>
      <c r="H106" s="2"/>
      <c r="I106" s="2"/>
      <c r="J106" s="2"/>
    </row>
    <row r="107" ht="13.55" customHeight="1">
      <c r="A107" s="2"/>
      <c r="B107" s="2"/>
      <c r="C107" s="2"/>
      <c r="D107" s="2"/>
      <c r="E107" s="2"/>
      <c r="F107" s="2"/>
      <c r="G107" s="3"/>
      <c r="H107" s="2"/>
      <c r="I107" s="2"/>
      <c r="J107" s="2"/>
    </row>
    <row r="108" ht="13.55" customHeight="1">
      <c r="A108" s="2"/>
      <c r="B108" s="2"/>
      <c r="C108" s="2"/>
      <c r="D108" s="2"/>
      <c r="E108" s="2"/>
      <c r="F108" s="2"/>
      <c r="G108" s="3"/>
      <c r="H108" s="2"/>
      <c r="I108" s="2"/>
      <c r="J108" s="2"/>
    </row>
    <row r="109" ht="13.55" customHeight="1">
      <c r="A109" s="2"/>
      <c r="B109" s="2"/>
      <c r="C109" s="2"/>
      <c r="D109" s="2"/>
      <c r="E109" s="2"/>
      <c r="F109" s="2"/>
      <c r="G109" s="3"/>
      <c r="H109" s="2"/>
      <c r="I109" s="2"/>
      <c r="J109" s="2"/>
    </row>
    <row r="110" ht="13.55" customHeight="1">
      <c r="A110" s="2"/>
      <c r="B110" s="2"/>
      <c r="C110" s="2"/>
      <c r="D110" s="2"/>
      <c r="E110" s="2"/>
      <c r="F110" s="2"/>
      <c r="G110" s="3"/>
      <c r="H110" s="2"/>
      <c r="I110" s="2"/>
      <c r="J110" s="2"/>
    </row>
    <row r="111" ht="13.55" customHeight="1">
      <c r="A111" s="2"/>
      <c r="B111" s="2"/>
      <c r="C111" s="2"/>
      <c r="D111" s="2"/>
      <c r="E111" s="2"/>
      <c r="F111" s="2"/>
      <c r="G111" s="3"/>
      <c r="H111" s="2"/>
      <c r="I111" s="2"/>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13"/>
      <c r="J116" s="2"/>
    </row>
    <row r="117" ht="13.55" customHeight="1">
      <c r="A117" s="2"/>
      <c r="B117" s="2"/>
      <c r="C117" s="2"/>
      <c r="D117" s="2"/>
      <c r="E117" s="2"/>
      <c r="F117" s="2"/>
      <c r="G117" s="3"/>
      <c r="H117" s="2"/>
      <c r="I117" s="13"/>
      <c r="J117" s="2"/>
    </row>
    <row r="118" ht="13.55" customHeight="1">
      <c r="A118" s="2"/>
      <c r="B118" s="2"/>
      <c r="C118" s="2"/>
      <c r="D118" s="2"/>
      <c r="E118" s="2"/>
      <c r="F118" s="2"/>
      <c r="G118" s="3"/>
      <c r="H118" s="2"/>
      <c r="I118" s="13"/>
      <c r="J118" s="2"/>
    </row>
    <row r="119" ht="13.55" customHeight="1">
      <c r="A119" s="2"/>
      <c r="B119" s="2"/>
      <c r="C119" s="2"/>
      <c r="D119" s="2"/>
      <c r="E119" s="2"/>
      <c r="F119" s="2"/>
      <c r="G119" s="3"/>
      <c r="H119" s="2"/>
      <c r="I119" s="13"/>
      <c r="J119" s="2"/>
    </row>
    <row r="120" ht="13.55" customHeight="1">
      <c r="A120" s="2"/>
      <c r="B120" s="2"/>
      <c r="C120" s="2"/>
      <c r="D120" s="2"/>
      <c r="E120" s="2"/>
      <c r="F120" s="2"/>
      <c r="G120" s="3"/>
      <c r="H120" s="2"/>
      <c r="I120" s="13"/>
      <c r="J120" s="2"/>
    </row>
    <row r="121" ht="13.55" customHeight="1">
      <c r="A121" s="2"/>
      <c r="B121" s="2"/>
      <c r="C121" s="2"/>
      <c r="D121" s="2"/>
      <c r="E121" s="2"/>
      <c r="F121" s="2"/>
      <c r="G121" s="3"/>
      <c r="H121" s="2"/>
      <c r="I121" s="13"/>
      <c r="J121" s="2"/>
    </row>
    <row r="122" ht="13.55" customHeight="1">
      <c r="A122" s="2"/>
      <c r="B122" s="2"/>
      <c r="C122" s="2"/>
      <c r="D122" s="2"/>
      <c r="E122" s="2"/>
      <c r="F122" s="2"/>
      <c r="G122" s="3"/>
      <c r="H122" s="2"/>
      <c r="I122" s="13"/>
      <c r="J122" s="2"/>
    </row>
    <row r="123" ht="13.55" customHeight="1">
      <c r="A123" s="2"/>
      <c r="B123" s="2"/>
      <c r="C123" s="2"/>
      <c r="D123" s="2"/>
      <c r="E123" s="2"/>
      <c r="F123" s="2"/>
      <c r="G123" s="3"/>
      <c r="H123" s="2"/>
      <c r="I123" s="13"/>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2"/>
      <c r="J126" s="2"/>
    </row>
    <row r="127" ht="13.55" customHeight="1">
      <c r="A127" s="2"/>
      <c r="B127" s="2"/>
      <c r="C127" s="2"/>
      <c r="D127" s="2"/>
      <c r="E127" s="2"/>
      <c r="F127" s="2"/>
      <c r="G127" s="3"/>
      <c r="H127" s="2"/>
      <c r="I127" s="2"/>
      <c r="J127" s="2"/>
    </row>
    <row r="128" ht="13.55" customHeight="1">
      <c r="A128" s="2"/>
      <c r="B128" s="2"/>
      <c r="C128" s="2"/>
      <c r="D128" s="2"/>
      <c r="E128" s="2"/>
      <c r="F128" s="2"/>
      <c r="G128" s="3"/>
      <c r="H128" s="2"/>
      <c r="I128" s="2"/>
      <c r="J128" s="2"/>
    </row>
    <row r="129" ht="13.55" customHeight="1">
      <c r="A129" s="2"/>
      <c r="B129" s="2"/>
      <c r="C129" s="2"/>
      <c r="D129" s="2"/>
      <c r="E129" s="2"/>
      <c r="F129" s="2"/>
      <c r="G129" s="3"/>
      <c r="H129" s="2"/>
      <c r="I129" s="2"/>
      <c r="J129" s="2"/>
    </row>
    <row r="130" ht="13.55" customHeight="1">
      <c r="A130" s="2"/>
      <c r="B130" s="2"/>
      <c r="C130" s="2"/>
      <c r="D130" s="2"/>
      <c r="E130" s="2"/>
      <c r="F130" s="2"/>
      <c r="G130" s="3"/>
      <c r="H130" s="2"/>
      <c r="I130" s="2"/>
      <c r="J130" s="2"/>
    </row>
    <row r="131" ht="13.55" customHeight="1">
      <c r="A131" s="2"/>
      <c r="B131" s="2"/>
      <c r="C131" s="2"/>
      <c r="D131" s="2"/>
      <c r="E131" s="2"/>
      <c r="F131" s="2"/>
      <c r="G131" s="3"/>
      <c r="H131" s="2"/>
      <c r="I131" s="2"/>
      <c r="J131" s="2"/>
    </row>
    <row r="132" ht="13.55" customHeight="1">
      <c r="A132" s="2"/>
      <c r="B132" s="2"/>
      <c r="C132" s="2"/>
      <c r="D132" s="2"/>
      <c r="E132" s="2"/>
      <c r="F132" s="2"/>
      <c r="G132" s="3"/>
      <c r="H132" s="2"/>
      <c r="I132" s="2"/>
      <c r="J132" s="2"/>
    </row>
    <row r="133" ht="13.55" customHeight="1">
      <c r="A133" s="2"/>
      <c r="B133" s="2"/>
      <c r="C133" s="2"/>
      <c r="D133" s="2"/>
      <c r="E133" s="2"/>
      <c r="F133" s="2"/>
      <c r="G133" s="3"/>
      <c r="H133" s="2"/>
      <c r="I133" s="2"/>
      <c r="J133" s="2"/>
    </row>
    <row r="134" ht="13.55" customHeight="1">
      <c r="A134" s="2"/>
      <c r="B134" s="2"/>
      <c r="C134" s="2"/>
      <c r="D134" s="2"/>
      <c r="E134" s="2"/>
      <c r="F134" s="2"/>
      <c r="G134" s="3"/>
      <c r="H134" s="2"/>
      <c r="I134" s="2"/>
      <c r="J134" s="2"/>
    </row>
    <row r="135" ht="13.55" customHeight="1">
      <c r="A135" s="2"/>
      <c r="B135" s="2"/>
      <c r="C135" s="2"/>
      <c r="D135" s="2"/>
      <c r="E135" s="2"/>
      <c r="F135" s="2"/>
      <c r="G135" s="3"/>
      <c r="H135" s="2"/>
      <c r="I135" s="2"/>
      <c r="J135" s="2"/>
    </row>
    <row r="136" ht="13.55" customHeight="1">
      <c r="A136" s="2"/>
      <c r="B136" s="2"/>
      <c r="C136" s="2"/>
      <c r="D136" s="2"/>
      <c r="E136" s="2"/>
      <c r="F136" s="2"/>
      <c r="G136" s="3"/>
      <c r="H136" s="2"/>
      <c r="I136" s="2"/>
      <c r="J136" s="2"/>
    </row>
    <row r="137" ht="13.55" customHeight="1">
      <c r="A137" s="2"/>
      <c r="B137" s="2"/>
      <c r="C137" s="2"/>
      <c r="D137" s="2"/>
      <c r="E137" s="2"/>
      <c r="F137" s="2"/>
      <c r="G137" s="3"/>
      <c r="H137" s="2"/>
      <c r="I137" s="2"/>
      <c r="J137" s="2"/>
    </row>
    <row r="138" ht="13.55" customHeight="1">
      <c r="A138" s="2"/>
      <c r="B138" s="2"/>
      <c r="C138" s="2"/>
      <c r="D138" s="2"/>
      <c r="E138" s="2"/>
      <c r="F138" s="2"/>
      <c r="G138" s="3"/>
      <c r="H138" s="2"/>
      <c r="I138" s="13"/>
      <c r="J138" s="2"/>
    </row>
    <row r="139" ht="13.55" customHeight="1">
      <c r="A139" s="2"/>
      <c r="B139" s="2"/>
      <c r="C139" s="2"/>
      <c r="D139" s="2"/>
      <c r="E139" s="2"/>
      <c r="F139" s="2"/>
      <c r="G139" s="3"/>
      <c r="H139" s="2"/>
      <c r="I139" s="13"/>
      <c r="J139" s="2"/>
    </row>
    <row r="140" ht="13.55" customHeight="1">
      <c r="A140" s="2"/>
      <c r="B140" s="2"/>
      <c r="C140" s="2"/>
      <c r="D140" s="2"/>
      <c r="E140" s="2"/>
      <c r="F140" s="2"/>
      <c r="G140" s="3"/>
      <c r="H140" s="2"/>
      <c r="I140" s="13"/>
      <c r="J140"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J128"/>
  <sheetViews>
    <sheetView workbookViewId="0" showGridLines="0" defaultGridColor="1"/>
  </sheetViews>
  <sheetFormatPr defaultColWidth="20.6667" defaultRowHeight="15" customHeight="1" outlineLevelRow="0" outlineLevelCol="0"/>
  <cols>
    <col min="1" max="1" width="24.5" style="27" customWidth="1"/>
    <col min="2" max="3" width="20.6719" style="27" customWidth="1"/>
    <col min="4" max="4" width="16.6719" style="27" customWidth="1"/>
    <col min="5" max="5" width="148" style="27" customWidth="1"/>
    <col min="6" max="10" width="20.6719" style="27" customWidth="1"/>
    <col min="11" max="16384" width="20.6719" style="27" customWidth="1"/>
  </cols>
  <sheetData>
    <row r="1" ht="13.55" customHeight="1">
      <c r="A1" s="2"/>
      <c r="B1" s="2"/>
      <c r="C1" s="2"/>
      <c r="D1" s="2"/>
      <c r="E1" s="2"/>
      <c r="F1" s="2"/>
      <c r="G1" s="3"/>
      <c r="H1" s="2"/>
      <c r="I1" s="2"/>
      <c r="J1" s="2"/>
    </row>
    <row r="2" ht="13.55" customHeight="1">
      <c r="A2" t="s" s="4">
        <v>0</v>
      </c>
      <c r="B2" t="s" s="4">
        <v>1</v>
      </c>
      <c r="C2" t="s" s="4">
        <v>2</v>
      </c>
      <c r="D2" t="s" s="4">
        <v>3</v>
      </c>
      <c r="E2" t="s" s="4">
        <v>4</v>
      </c>
      <c r="F2" t="s" s="4">
        <v>5</v>
      </c>
      <c r="G2" t="s" s="5">
        <v>6</v>
      </c>
      <c r="H2" t="s" s="4">
        <v>7</v>
      </c>
      <c r="I2" t="s" s="4">
        <v>8</v>
      </c>
      <c r="J2" s="6"/>
    </row>
    <row r="3" ht="13.55" customHeight="1">
      <c r="A3" t="s" s="7">
        <v>517</v>
      </c>
      <c r="B3" s="8" cm="1">
        <f t="array" ref="B3">AVERAGE(22.187,22.358)</f>
        <v>22.2725</v>
      </c>
      <c r="C3" s="8" cm="1">
        <f t="array" ref="C3">B3/G3*1000000</f>
        <v>109.716748768473</v>
      </c>
      <c r="D3" t="str" s="2" cm="1">
        <f t="array" ref="D3">IF(ISERROR(FIND("/",E3)),"No","Yes")</f>
        <v>No</v>
      </c>
      <c r="E3" t="s" s="7">
        <v>518</v>
      </c>
      <c r="F3" t="s" s="7">
        <v>55</v>
      </c>
      <c r="G3" s="8">
        <v>203000</v>
      </c>
      <c r="H3" t="s" s="7">
        <v>10</v>
      </c>
      <c r="I3" s="2"/>
      <c r="J3" s="2"/>
    </row>
    <row r="4" ht="13.55" customHeight="1">
      <c r="A4" t="s" s="7">
        <v>519</v>
      </c>
      <c r="B4" s="8" cm="1">
        <f t="array" ref="B4">AVERAGE(15.491,15.467)</f>
        <v>15.479</v>
      </c>
      <c r="C4" s="8" cm="1">
        <f t="array" ref="C4">B4/G4*1000000</f>
        <v>87.60045274476509</v>
      </c>
      <c r="D4" t="str" s="2" cm="1">
        <f t="array" ref="D4">IF(ISERROR(FIND("/",E4)),"No","Yes")</f>
        <v>Yes</v>
      </c>
      <c r="E4" t="s" s="7">
        <v>520</v>
      </c>
      <c r="F4" t="s" s="7">
        <v>12</v>
      </c>
      <c r="G4" s="10">
        <v>176700</v>
      </c>
      <c r="H4" t="s" s="7">
        <v>10</v>
      </c>
      <c r="I4" s="11">
        <v>45831</v>
      </c>
      <c r="J4" s="2"/>
    </row>
    <row r="5" ht="13.55" customHeight="1">
      <c r="A5" t="s" s="7">
        <v>521</v>
      </c>
      <c r="B5" s="8" cm="1">
        <f t="array" ref="B5">AVERAGE(18.467,18.453)</f>
        <v>18.46</v>
      </c>
      <c r="C5" s="8" cm="1">
        <f t="array" ref="C5">B5/G5*1000000</f>
        <v>99.08430216954901</v>
      </c>
      <c r="D5" t="str" s="2" cm="1">
        <f t="array" ref="D5">IF(ISERROR(FIND("/",E5)),"No","Yes")</f>
        <v>Yes</v>
      </c>
      <c r="E5" t="s" s="7">
        <v>522</v>
      </c>
      <c r="F5" t="s" s="7">
        <v>12</v>
      </c>
      <c r="G5" s="10">
        <v>186306</v>
      </c>
      <c r="H5" t="s" s="7">
        <v>10</v>
      </c>
      <c r="I5" s="2"/>
      <c r="J5" s="2"/>
    </row>
    <row r="6" ht="13.55" customHeight="1">
      <c r="A6" t="s" s="7">
        <v>523</v>
      </c>
      <c r="B6" s="8" cm="1">
        <f t="array" ref="B6">AVERAGE(31.275,31.806)</f>
        <v>31.5405</v>
      </c>
      <c r="C6" s="8" cm="1">
        <f t="array" ref="C6">B6/G6*1000000</f>
        <v>91.2894356005789</v>
      </c>
      <c r="D6" t="str" s="2" cm="1">
        <f t="array" ref="D6">IF(ISERROR(FIND("/",E6)),"No","Yes")</f>
        <v>No</v>
      </c>
      <c r="E6" t="s" s="7">
        <v>524</v>
      </c>
      <c r="F6" t="s" s="7">
        <v>55</v>
      </c>
      <c r="G6" s="10">
        <v>345500</v>
      </c>
      <c r="H6" t="s" s="7">
        <v>10</v>
      </c>
      <c r="I6" s="2"/>
      <c r="J6" s="2"/>
    </row>
    <row r="7" ht="13.55" customHeight="1">
      <c r="A7" t="s" s="7">
        <v>525</v>
      </c>
      <c r="B7" s="8" cm="1">
        <f t="array" ref="B7">AVERAGE(27.701,27.798)</f>
        <v>27.7495</v>
      </c>
      <c r="C7" s="8" cm="1">
        <f t="array" ref="C7">B7/G7*1000000</f>
        <v>95.2608994164092</v>
      </c>
      <c r="D7" t="str" s="2" cm="1">
        <f t="array" ref="D7">IF(ISERROR(FIND("/",E7)),"No","Yes")</f>
        <v>No</v>
      </c>
      <c r="E7" t="s" s="7">
        <v>385</v>
      </c>
      <c r="F7" t="s" s="7">
        <v>55</v>
      </c>
      <c r="G7" s="10">
        <v>291300</v>
      </c>
      <c r="H7" t="s" s="7">
        <v>10</v>
      </c>
      <c r="I7" s="2"/>
      <c r="J7" s="2"/>
    </row>
    <row r="8" ht="13.55" customHeight="1">
      <c r="A8" t="s" s="7">
        <v>526</v>
      </c>
      <c r="B8" s="8" cm="1">
        <f t="array" ref="B8">AVERAGE(39.247,39.177)</f>
        <v>39.212</v>
      </c>
      <c r="C8" s="8" cm="1">
        <f t="array" ref="C8">B8/G8*1000000</f>
        <v>98.9702170620899</v>
      </c>
      <c r="D8" t="str" s="2" cm="1">
        <f t="array" ref="D8">IF(ISERROR(FIND("/",E8)),"No","Yes")</f>
        <v>No</v>
      </c>
      <c r="E8" t="s" s="7">
        <v>527</v>
      </c>
      <c r="F8" t="s" s="7">
        <v>55</v>
      </c>
      <c r="G8" s="10">
        <v>396200</v>
      </c>
      <c r="H8" t="s" s="7">
        <v>10</v>
      </c>
      <c r="I8" s="2"/>
      <c r="J8" s="2"/>
    </row>
    <row r="9" ht="13.55" customHeight="1">
      <c r="A9" t="s" s="7">
        <v>528</v>
      </c>
      <c r="B9" s="8" cm="1">
        <f t="array" ref="B9">AVERAGE(39.662,39.281)</f>
        <v>39.4715</v>
      </c>
      <c r="C9" s="8" cm="1">
        <f t="array" ref="C9">B9/G9*1000000</f>
        <v>95.2957508450024</v>
      </c>
      <c r="D9" t="str" s="2" cm="1">
        <f t="array" ref="D9">IF(ISERROR(FIND("/",E9)),"No","Yes")</f>
        <v>No</v>
      </c>
      <c r="E9" t="s" s="7">
        <v>529</v>
      </c>
      <c r="F9" t="s" s="7">
        <v>55</v>
      </c>
      <c r="G9" s="10">
        <v>414200</v>
      </c>
      <c r="H9" t="s" s="7">
        <v>10</v>
      </c>
      <c r="I9" s="2"/>
      <c r="J9" s="2"/>
    </row>
    <row r="10" ht="13.55" customHeight="1">
      <c r="A10" t="s" s="7">
        <v>530</v>
      </c>
      <c r="B10" s="8" cm="1">
        <f t="array" ref="B10">AVERAGE(38.532,37.138)</f>
        <v>37.835</v>
      </c>
      <c r="C10" s="8" cm="1">
        <f t="array" ref="C10">B10/G10*1000000</f>
        <v>97.0128205128205</v>
      </c>
      <c r="D10" t="str" s="2" cm="1">
        <f t="array" ref="D10">IF(ISERROR(FIND("/",E10)),"No","Yes")</f>
        <v>No</v>
      </c>
      <c r="E10" t="s" s="7">
        <v>531</v>
      </c>
      <c r="F10" t="s" s="7">
        <v>55</v>
      </c>
      <c r="G10" s="10">
        <v>390000</v>
      </c>
      <c r="H10" t="s" s="7">
        <v>10</v>
      </c>
      <c r="I10" s="2"/>
      <c r="J10" s="2"/>
    </row>
    <row r="11" ht="13.55" customHeight="1">
      <c r="A11" t="s" s="7">
        <v>532</v>
      </c>
      <c r="B11" s="8" cm="1">
        <f t="array" ref="B11">AVERAGE(38.945,38.436)</f>
        <v>38.6905</v>
      </c>
      <c r="C11" s="8" cm="1">
        <f t="array" ref="C11">B11/G11*1000000</f>
        <v>96.4129080488413</v>
      </c>
      <c r="D11" t="str" s="2" cm="1">
        <f t="array" ref="D11">IF(ISERROR(FIND("/",E11)),"No","Yes")</f>
        <v>No</v>
      </c>
      <c r="E11" t="s" s="7">
        <v>533</v>
      </c>
      <c r="F11" t="s" s="7">
        <v>55</v>
      </c>
      <c r="G11" s="10">
        <v>401300</v>
      </c>
      <c r="H11" t="s" s="7">
        <v>10</v>
      </c>
      <c r="I11" s="2"/>
      <c r="J11" s="2"/>
    </row>
    <row r="12" ht="13.55" customHeight="1">
      <c r="A12" t="s" s="7">
        <v>534</v>
      </c>
      <c r="B12" s="8" cm="1">
        <f t="array" ref="B12">AVERAGE(40.025,38.653)</f>
        <v>39.339</v>
      </c>
      <c r="C12" s="8" cm="1">
        <f t="array" ref="C12">B12/G12*1000000</f>
        <v>95.73862253589679</v>
      </c>
      <c r="D12" t="str" s="2" cm="1">
        <f t="array" ref="D12">IF(ISERROR(FIND("/",E12)),"No","Yes")</f>
        <v>No</v>
      </c>
      <c r="E12" t="s" s="7">
        <v>535</v>
      </c>
      <c r="F12" t="s" s="7">
        <v>55</v>
      </c>
      <c r="G12" s="10">
        <v>410900</v>
      </c>
      <c r="H12" t="s" s="7">
        <v>10</v>
      </c>
      <c r="I12" s="2"/>
      <c r="J12" s="2"/>
    </row>
    <row r="13" ht="13.55" customHeight="1">
      <c r="A13" t="s" s="7">
        <v>536</v>
      </c>
      <c r="B13" s="8" cm="1">
        <f t="array" ref="B13">AVERAGE(38.831,39.564)</f>
        <v>39.1975</v>
      </c>
      <c r="C13" s="8" cm="1">
        <f t="array" ref="C13">B13/G13*1000000</f>
        <v>97.0715700842001</v>
      </c>
      <c r="D13" t="str" s="2" cm="1">
        <f t="array" ref="D13">IF(ISERROR(FIND("/",E13)),"No","Yes")</f>
        <v>No</v>
      </c>
      <c r="E13" t="s" s="7">
        <v>537</v>
      </c>
      <c r="F13" t="s" s="7">
        <v>55</v>
      </c>
      <c r="G13" s="10">
        <v>403800</v>
      </c>
      <c r="H13" t="s" s="7">
        <v>10</v>
      </c>
      <c r="I13" s="11"/>
      <c r="J13" s="2"/>
    </row>
    <row r="14" ht="13.55" customHeight="1">
      <c r="A14" t="s" s="7">
        <v>538</v>
      </c>
      <c r="B14" s="8" cm="1">
        <f t="array" ref="B14">AVERAGE(46.137,47.546,45.506,46.066)</f>
        <v>46.31375</v>
      </c>
      <c r="C14" s="8" cm="1">
        <f t="array" ref="C14">B14/G14*1000000</f>
        <v>98.6868740677605</v>
      </c>
      <c r="D14" t="str" s="2" cm="1">
        <f t="array" ref="D14">IF(ISERROR(FIND("/",E14)),"No","Yes")</f>
        <v>No</v>
      </c>
      <c r="E14" t="s" s="7">
        <v>539</v>
      </c>
      <c r="F14" t="s" s="7">
        <v>55</v>
      </c>
      <c r="G14" s="10">
        <v>469300</v>
      </c>
      <c r="H14" t="s" s="7">
        <v>10</v>
      </c>
      <c r="I14" s="11">
        <v>45364</v>
      </c>
      <c r="J14" s="2"/>
    </row>
    <row r="15" ht="13.55" customHeight="1">
      <c r="A15" t="s" s="7">
        <v>540</v>
      </c>
      <c r="B15" s="8" cm="1">
        <f t="array" ref="B15">AVERAGE(45.479,46.482,45.819)</f>
        <v>45.9266666666667</v>
      </c>
      <c r="C15" s="8" cm="1">
        <f t="array" ref="C15">B15/G15*1000000</f>
        <v>92.98778430181549</v>
      </c>
      <c r="D15" t="str" s="2" cm="1">
        <f t="array" ref="D15">IF(ISERROR(FIND("/",E15)),"No","Yes")</f>
        <v>No</v>
      </c>
      <c r="E15" t="s" s="7">
        <v>541</v>
      </c>
      <c r="F15" t="s" s="7">
        <v>55</v>
      </c>
      <c r="G15" s="10">
        <v>493900</v>
      </c>
      <c r="H15" t="s" s="7">
        <v>10</v>
      </c>
      <c r="I15" s="11">
        <v>45364</v>
      </c>
      <c r="J15" s="2"/>
    </row>
    <row r="16" ht="13.55" customHeight="1">
      <c r="A16" t="s" s="7">
        <v>542</v>
      </c>
      <c r="B16" s="8" cm="1">
        <f t="array" ref="B16">AVERAGE(52.644,49.945,50.576)</f>
        <v>51.055</v>
      </c>
      <c r="C16" s="8" cm="1">
        <f t="array" ref="C16">B16/G16*1000000</f>
        <v>98.7142304717711</v>
      </c>
      <c r="D16" t="str" s="2" cm="1">
        <f t="array" ref="D16">IF(ISERROR(FIND("/",E16)),"No","Yes")</f>
        <v>No</v>
      </c>
      <c r="E16" t="s" s="7">
        <v>543</v>
      </c>
      <c r="F16" t="s" s="7">
        <v>55</v>
      </c>
      <c r="G16" s="10">
        <v>517200</v>
      </c>
      <c r="H16" t="s" s="7">
        <v>10</v>
      </c>
      <c r="I16" s="11">
        <v>45364</v>
      </c>
      <c r="J16" s="2"/>
    </row>
    <row r="17" ht="13.55" customHeight="1">
      <c r="A17" t="s" s="7">
        <v>544</v>
      </c>
      <c r="B17" s="8" cm="1">
        <f t="array" ref="B17">AVERAGE(51.036,51.536,50.987)</f>
        <v>51.1863333333333</v>
      </c>
      <c r="C17" s="8" cm="1">
        <f t="array" ref="C17">B17/G17*1000000</f>
        <v>95.26583534958741</v>
      </c>
      <c r="D17" t="str" s="2" cm="1">
        <f t="array" ref="D17">IF(ISERROR(FIND("/",E17)),"No","Yes")</f>
        <v>No</v>
      </c>
      <c r="E17" t="s" s="7">
        <v>545</v>
      </c>
      <c r="F17" t="s" s="7">
        <v>55</v>
      </c>
      <c r="G17" s="10">
        <v>537300</v>
      </c>
      <c r="H17" t="s" s="7">
        <v>10</v>
      </c>
      <c r="I17" s="11">
        <v>45364</v>
      </c>
      <c r="J17" s="2"/>
    </row>
    <row r="18" ht="13.55" customHeight="1">
      <c r="A18" t="s" s="7">
        <v>546</v>
      </c>
      <c r="B18" s="8" cm="1">
        <f t="array" ref="B18">AVERAGE(54.771,55.04)</f>
        <v>54.9055</v>
      </c>
      <c r="C18" s="8" cm="1">
        <f t="array" ref="C18">B18/G18*1000000</f>
        <v>97.94059935783091</v>
      </c>
      <c r="D18" t="str" s="2" cm="1">
        <f t="array" ref="D18">IF(ISERROR(FIND("/",E18)),"No","Yes")</f>
        <v>No</v>
      </c>
      <c r="E18" t="s" s="7">
        <v>547</v>
      </c>
      <c r="F18" t="s" s="7">
        <v>55</v>
      </c>
      <c r="G18" s="10">
        <v>560600</v>
      </c>
      <c r="H18" t="s" s="7">
        <v>10</v>
      </c>
      <c r="I18" s="11">
        <v>45364</v>
      </c>
      <c r="J18" s="2"/>
    </row>
    <row r="19" ht="13.55" customHeight="1">
      <c r="A19" t="s" s="7">
        <v>548</v>
      </c>
      <c r="B19" s="8" cm="1">
        <f t="array" ref="B19">AVERAGE(41.337,41.285)</f>
        <v>41.311</v>
      </c>
      <c r="C19" s="8" cm="1">
        <f t="array" ref="C19">B19/G19*1000000</f>
        <v>107.805323590814</v>
      </c>
      <c r="D19" t="str" s="2" cm="1">
        <f t="array" ref="D19">IF(ISERROR(FIND("/",E19)),"No","Yes")</f>
        <v>No</v>
      </c>
      <c r="E19" t="s" s="7">
        <v>549</v>
      </c>
      <c r="F19" t="s" s="7">
        <v>55</v>
      </c>
      <c r="G19" s="10">
        <v>383200</v>
      </c>
      <c r="H19" t="s" s="7">
        <v>10</v>
      </c>
      <c r="I19" s="11">
        <v>45364</v>
      </c>
      <c r="J19" s="2"/>
    </row>
    <row r="20" ht="13.55" customHeight="1">
      <c r="A20" t="s" s="7">
        <v>550</v>
      </c>
      <c r="B20" s="8" cm="1">
        <f t="array" ref="B20">AVERAGE(35.851,36.413)</f>
        <v>36.132</v>
      </c>
      <c r="C20" s="8" cm="1">
        <f t="array" ref="C20">B20/G20*1000000</f>
        <v>98.72131147540981</v>
      </c>
      <c r="D20" t="str" s="2" cm="1">
        <f t="array" ref="D20">IF(ISERROR(FIND("/",E20)),"No","Yes")</f>
        <v>No</v>
      </c>
      <c r="E20" t="s" s="7">
        <v>551</v>
      </c>
      <c r="F20" t="s" s="7">
        <v>55</v>
      </c>
      <c r="G20" s="10">
        <v>366000</v>
      </c>
      <c r="H20" t="s" s="7">
        <v>10</v>
      </c>
      <c r="I20" s="11">
        <v>45364</v>
      </c>
      <c r="J20" s="2"/>
    </row>
    <row r="21" ht="13.55" customHeight="1">
      <c r="A21" t="s" s="7">
        <v>552</v>
      </c>
      <c r="B21" s="8" cm="1">
        <f t="array" ref="B21">AVERAGE(42.61,42.749)</f>
        <v>42.6795</v>
      </c>
      <c r="C21" s="8" cm="1">
        <f t="array" ref="C21">B21/G21*1000000</f>
        <v>115.287682333874</v>
      </c>
      <c r="D21" t="str" s="2" cm="1">
        <f t="array" ref="D21">IF(ISERROR(FIND("/",E21)),"No","Yes")</f>
        <v>No</v>
      </c>
      <c r="E21" t="s" s="7">
        <v>553</v>
      </c>
      <c r="F21" t="s" s="7">
        <v>55</v>
      </c>
      <c r="G21" s="10">
        <v>370200</v>
      </c>
      <c r="H21" t="s" s="7">
        <v>10</v>
      </c>
      <c r="I21" s="11">
        <v>45364</v>
      </c>
      <c r="J21" s="2"/>
    </row>
    <row r="22" ht="13.55" customHeight="1">
      <c r="A22" t="s" s="7">
        <v>554</v>
      </c>
      <c r="B22" s="8" cm="1">
        <f t="array" ref="B22">AVERAGE(43.378,45.844,42.342,43.18)</f>
        <v>43.686</v>
      </c>
      <c r="C22" s="8" cm="1">
        <f t="array" ref="C22">B22/G22*1000000</f>
        <v>102.165575304022</v>
      </c>
      <c r="D22" t="str" s="2" cm="1">
        <f t="array" ref="D22">IF(ISERROR(FIND("/",E22)),"No","Yes")</f>
        <v>No</v>
      </c>
      <c r="E22" t="s" s="7">
        <v>555</v>
      </c>
      <c r="F22" t="s" s="7">
        <v>55</v>
      </c>
      <c r="G22" s="10">
        <v>427600</v>
      </c>
      <c r="H22" t="s" s="7">
        <v>10</v>
      </c>
      <c r="I22" s="11">
        <v>45364</v>
      </c>
      <c r="J22" s="2"/>
    </row>
    <row r="23" ht="13.55" customHeight="1">
      <c r="A23" t="s" s="7">
        <v>556</v>
      </c>
      <c r="B23" s="8" cm="1">
        <f t="array" ref="B23">AVERAGE(41.47,43.353,41.336)</f>
        <v>42.053</v>
      </c>
      <c r="C23" s="8" cm="1">
        <f t="array" ref="C23">B23/G23*1000000</f>
        <v>100.030922930542</v>
      </c>
      <c r="D23" t="str" s="2" cm="1">
        <f t="array" ref="D23">IF(ISERROR(FIND("/",E23)),"No","Yes")</f>
        <v>No</v>
      </c>
      <c r="E23" t="s" s="7">
        <v>557</v>
      </c>
      <c r="F23" t="s" s="7">
        <v>55</v>
      </c>
      <c r="G23" s="10">
        <v>420400</v>
      </c>
      <c r="H23" t="s" s="7">
        <v>10</v>
      </c>
      <c r="I23" s="11">
        <v>45364</v>
      </c>
      <c r="J23" s="2"/>
    </row>
    <row r="24" ht="13.55" customHeight="1">
      <c r="A24" t="s" s="7">
        <v>558</v>
      </c>
      <c r="B24" s="8" cm="1">
        <f t="array" ref="B24">AVERAGE(42.236,42.033)</f>
        <v>42.1345</v>
      </c>
      <c r="C24" s="8" cm="1">
        <f t="array" ref="C24">B24/G24*1000000</f>
        <v>97.5787401574803</v>
      </c>
      <c r="D24" t="str" s="2" cm="1">
        <f t="array" ref="D24">IF(ISERROR(FIND("/",E24)),"No","Yes")</f>
        <v>No</v>
      </c>
      <c r="E24" t="s" s="7">
        <v>559</v>
      </c>
      <c r="F24" t="s" s="7">
        <v>55</v>
      </c>
      <c r="G24" s="10">
        <v>431800</v>
      </c>
      <c r="H24" t="s" s="7">
        <v>10</v>
      </c>
      <c r="I24" s="11">
        <v>45364</v>
      </c>
      <c r="J24" s="2"/>
    </row>
    <row r="25" ht="13.55" customHeight="1">
      <c r="A25" t="s" s="7">
        <v>560</v>
      </c>
      <c r="B25" s="8" cm="1">
        <f t="array" ref="B25">AVERAGE(42.266,41.435)</f>
        <v>41.8505</v>
      </c>
      <c r="C25" s="8" cm="1">
        <f t="array" ref="C25">B25/G25*1000000</f>
        <v>98.7738966249705</v>
      </c>
      <c r="D25" t="str" s="2" cm="1">
        <f t="array" ref="D25">IF(ISERROR(FIND("/",E25)),"No","Yes")</f>
        <v>No</v>
      </c>
      <c r="E25" t="s" s="7">
        <v>561</v>
      </c>
      <c r="F25" t="s" s="7">
        <v>55</v>
      </c>
      <c r="G25" s="10">
        <v>423700</v>
      </c>
      <c r="H25" t="s" s="7">
        <v>10</v>
      </c>
      <c r="I25" s="11">
        <v>45364</v>
      </c>
      <c r="J25" s="2"/>
    </row>
    <row r="26" ht="13.55" customHeight="1">
      <c r="A26" t="s" s="7">
        <v>562</v>
      </c>
      <c r="B26" s="8" cm="1">
        <f t="array" ref="B26">AVERAGE(43.09,41.863,41.58,41.08,41.852)</f>
        <v>41.893</v>
      </c>
      <c r="C26" s="8" cm="1">
        <f t="array" ref="C26">B26/G26*1000000</f>
        <v>98.2942280619427</v>
      </c>
      <c r="D26" t="str" s="2" cm="1">
        <f t="array" ref="D26">IF(ISERROR(FIND("/",E26)),"No","Yes")</f>
        <v>No</v>
      </c>
      <c r="E26" t="s" s="7">
        <v>563</v>
      </c>
      <c r="F26" t="s" s="7">
        <v>55</v>
      </c>
      <c r="G26" s="10">
        <v>426200</v>
      </c>
      <c r="H26" t="s" s="7">
        <v>10</v>
      </c>
      <c r="I26" s="11">
        <v>45364</v>
      </c>
      <c r="J26" s="2"/>
    </row>
    <row r="27" ht="13.55" customHeight="1">
      <c r="A27" t="s" s="7">
        <v>564</v>
      </c>
      <c r="B27" s="8" cm="1">
        <f t="array" ref="B27">AVERAGE(35.357,35.603)</f>
        <v>35.48</v>
      </c>
      <c r="C27" s="8" cm="1">
        <f t="array" ref="C27">B27/G27*1000000</f>
        <v>97.0990695128626</v>
      </c>
      <c r="D27" t="str" s="2" cm="1">
        <f t="array" ref="D27">IF(ISERROR(FIND("/",E27)),"No","Yes")</f>
        <v>No</v>
      </c>
      <c r="E27" t="s" s="7">
        <v>565</v>
      </c>
      <c r="F27" t="s" s="7">
        <v>55</v>
      </c>
      <c r="G27" s="10">
        <v>365400</v>
      </c>
      <c r="H27" t="s" s="7">
        <v>10</v>
      </c>
      <c r="I27" s="11">
        <v>45364</v>
      </c>
      <c r="J27" s="2"/>
    </row>
    <row r="28" ht="13.55" customHeight="1">
      <c r="A28" t="s" s="7">
        <v>566</v>
      </c>
      <c r="B28" s="8" cm="1">
        <f t="array" ref="B28">AVERAGE(37.664,37.555)</f>
        <v>37.6095</v>
      </c>
      <c r="C28" s="8" cm="1">
        <f t="array" ref="C28">B28/G28*1000000</f>
        <v>99.65421303656601</v>
      </c>
      <c r="D28" t="str" s="2" cm="1">
        <f t="array" ref="D28">IF(ISERROR(FIND("/",E28)),"No","Yes")</f>
        <v>No</v>
      </c>
      <c r="E28" t="s" s="7">
        <v>567</v>
      </c>
      <c r="F28" t="s" s="7">
        <v>55</v>
      </c>
      <c r="G28" s="10">
        <v>377400</v>
      </c>
      <c r="H28" t="s" s="7">
        <v>10</v>
      </c>
      <c r="I28" s="11">
        <v>45364</v>
      </c>
      <c r="J28" s="2"/>
    </row>
    <row r="29" ht="13.55" customHeight="1">
      <c r="A29" t="s" s="7">
        <v>568</v>
      </c>
      <c r="B29" s="8" cm="1">
        <f t="array" ref="B29">AVERAGE(39.437,40.869)</f>
        <v>40.153</v>
      </c>
      <c r="C29" s="8" cm="1">
        <f t="array" ref="C29">B29/G29*1000000</f>
        <v>103.115048793015</v>
      </c>
      <c r="D29" t="str" s="2" cm="1">
        <f t="array" ref="D29">IF(ISERROR(FIND("/",E29)),"No","Yes")</f>
        <v>No</v>
      </c>
      <c r="E29" t="s" s="7">
        <v>569</v>
      </c>
      <c r="F29" t="s" s="7">
        <v>55</v>
      </c>
      <c r="G29" s="10">
        <v>389400</v>
      </c>
      <c r="H29" t="s" s="7">
        <v>10</v>
      </c>
      <c r="I29" s="11">
        <v>45364</v>
      </c>
      <c r="J29" s="2"/>
    </row>
    <row r="30" ht="13.55" customHeight="1">
      <c r="A30" t="s" s="7">
        <v>570</v>
      </c>
      <c r="B30" s="8" cm="1">
        <f t="array" ref="B30">AVERAGE(37.285,37.422)</f>
        <v>37.3535</v>
      </c>
      <c r="C30" s="8" cm="1">
        <f t="array" ref="C30">B30/G30*1000000</f>
        <v>93.0580468360737</v>
      </c>
      <c r="D30" t="str" s="2" cm="1">
        <f t="array" ref="D30">IF(ISERROR(FIND("/",E30)),"No","Yes")</f>
        <v>No</v>
      </c>
      <c r="E30" t="s" s="7">
        <v>571</v>
      </c>
      <c r="F30" t="s" s="7">
        <v>55</v>
      </c>
      <c r="G30" s="10">
        <v>401400</v>
      </c>
      <c r="H30" t="s" s="7">
        <v>10</v>
      </c>
      <c r="I30" s="11">
        <v>45364</v>
      </c>
      <c r="J30" s="2"/>
    </row>
    <row r="31" ht="13.55" customHeight="1">
      <c r="A31" t="s" s="7">
        <v>572</v>
      </c>
      <c r="B31" s="8" cm="1">
        <f t="array" ref="B31">AVERAGE(37.761,36.876)</f>
        <v>37.3185</v>
      </c>
      <c r="C31" s="8" cm="1">
        <f t="array" ref="C31">B31/G31*1000000</f>
        <v>92.64771598808341</v>
      </c>
      <c r="D31" t="str" s="2" cm="1">
        <f t="array" ref="D31">IF(ISERROR(FIND("/",E31)),"No","Yes")</f>
        <v>No</v>
      </c>
      <c r="E31" t="s" s="7">
        <v>573</v>
      </c>
      <c r="F31" t="s" s="7">
        <v>55</v>
      </c>
      <c r="G31" s="10">
        <v>402800</v>
      </c>
      <c r="H31" t="s" s="7">
        <v>10</v>
      </c>
      <c r="I31" s="11">
        <v>45364</v>
      </c>
      <c r="J31" s="2"/>
    </row>
    <row r="32" ht="13.55" customHeight="1">
      <c r="A32" t="s" s="7">
        <v>574</v>
      </c>
      <c r="B32" s="8" cm="1">
        <f t="array" ref="B32">AVERAGE(37.544,36.808)</f>
        <v>37.176</v>
      </c>
      <c r="C32" s="8" cm="1">
        <f t="array" ref="C32">B32/G32*1000000</f>
        <v>92.29394240317779</v>
      </c>
      <c r="D32" t="str" s="2" cm="1">
        <f t="array" ref="D32">IF(ISERROR(FIND("/",E32)),"No","Yes")</f>
        <v>No</v>
      </c>
      <c r="E32" t="s" s="7">
        <v>575</v>
      </c>
      <c r="F32" t="s" s="7">
        <v>55</v>
      </c>
      <c r="G32" s="10">
        <v>402800</v>
      </c>
      <c r="H32" t="s" s="7">
        <v>10</v>
      </c>
      <c r="I32" s="11">
        <v>45364</v>
      </c>
      <c r="J32" s="2"/>
    </row>
    <row r="33" ht="13.55" customHeight="1">
      <c r="A33" t="s" s="7">
        <v>576</v>
      </c>
      <c r="B33" s="8" cm="1">
        <f t="array" ref="B33">AVERAGE(34.226,33.962)</f>
        <v>34.094</v>
      </c>
      <c r="C33" s="8" cm="1">
        <f t="array" ref="C33">B33/G33*1000000</f>
        <v>84.64250248262159</v>
      </c>
      <c r="D33" t="str" s="2" cm="1">
        <f t="array" ref="D33">IF(ISERROR(FIND("/",E33)),"No","Yes")</f>
        <v>No</v>
      </c>
      <c r="E33" t="s" s="7">
        <v>577</v>
      </c>
      <c r="F33" t="s" s="7">
        <v>55</v>
      </c>
      <c r="G33" s="10">
        <v>402800</v>
      </c>
      <c r="H33" t="s" s="7">
        <v>10</v>
      </c>
      <c r="I33" s="11">
        <v>45364</v>
      </c>
      <c r="J33" s="2"/>
    </row>
    <row r="34" ht="13.55" customHeight="1">
      <c r="A34" t="s" s="7">
        <v>578</v>
      </c>
      <c r="B34" s="8" cm="1">
        <f t="array" ref="B34">AVERAGE(38.961,38.607)</f>
        <v>38.784</v>
      </c>
      <c r="C34" s="8" cm="1">
        <f t="array" ref="C34">B34/G34*1000000</f>
        <v>96.7182044887781</v>
      </c>
      <c r="D34" t="str" s="2" cm="1">
        <f t="array" ref="D34">IF(ISERROR(FIND("/",E34)),"No","Yes")</f>
        <v>No</v>
      </c>
      <c r="E34" t="s" s="7">
        <v>579</v>
      </c>
      <c r="F34" t="s" s="7">
        <v>55</v>
      </c>
      <c r="G34" s="10">
        <v>401000</v>
      </c>
      <c r="H34" t="s" s="7">
        <v>10</v>
      </c>
      <c r="I34" s="11">
        <v>45364</v>
      </c>
      <c r="J34" s="2"/>
    </row>
    <row r="35" ht="13.55" customHeight="1">
      <c r="A35" t="s" s="7">
        <v>580</v>
      </c>
      <c r="B35" s="8" cm="1">
        <f t="array" ref="B35">AVERAGE(40.614,41.234)</f>
        <v>40.924</v>
      </c>
      <c r="C35" s="8" cm="1">
        <f t="array" ref="C35">B35/G35*1000000</f>
        <v>100.500982318271</v>
      </c>
      <c r="D35" t="str" s="2" cm="1">
        <f t="array" ref="D35">IF(ISERROR(FIND("/",E35)),"No","Yes")</f>
        <v>No</v>
      </c>
      <c r="E35" t="s" s="7">
        <v>581</v>
      </c>
      <c r="F35" t="s" s="7">
        <v>55</v>
      </c>
      <c r="G35" s="10">
        <v>407200</v>
      </c>
      <c r="H35" t="s" s="7">
        <v>10</v>
      </c>
      <c r="I35" s="11">
        <v>45364</v>
      </c>
      <c r="J35" s="2"/>
    </row>
    <row r="36" ht="13.55" customHeight="1">
      <c r="A36" t="s" s="7">
        <v>582</v>
      </c>
      <c r="B36" s="8" cm="1">
        <f t="array" ref="B36">AVERAGE(40.208,40.426)</f>
        <v>40.317</v>
      </c>
      <c r="C36" s="8" cm="1">
        <f t="array" ref="C36">B36/G36*1000000</f>
        <v>99.9925595238095</v>
      </c>
      <c r="D36" t="str" s="2" cm="1">
        <f t="array" ref="D36">IF(ISERROR(FIND("/",E36)),"No","Yes")</f>
        <v>No</v>
      </c>
      <c r="E36" t="s" s="7">
        <v>583</v>
      </c>
      <c r="F36" t="s" s="7">
        <v>55</v>
      </c>
      <c r="G36" s="10">
        <v>403200</v>
      </c>
      <c r="H36" t="s" s="7">
        <v>10</v>
      </c>
      <c r="I36" s="11">
        <v>45364</v>
      </c>
      <c r="J36" s="2"/>
    </row>
    <row r="37" ht="13.55" customHeight="1">
      <c r="A37" t="s" s="7">
        <v>584</v>
      </c>
      <c r="B37" s="8" cm="1">
        <f t="array" ref="B37">AVERAGE(40.597,40.415)</f>
        <v>40.506</v>
      </c>
      <c r="C37" s="8" cm="1">
        <f t="array" ref="C37">B37/G37*1000000</f>
        <v>96.3510941960038</v>
      </c>
      <c r="D37" t="str" s="2" cm="1">
        <f t="array" ref="D37">IF(ISERROR(FIND("/",E37)),"No","Yes")</f>
        <v>No</v>
      </c>
      <c r="E37" t="s" s="7">
        <v>585</v>
      </c>
      <c r="F37" t="s" s="7">
        <v>55</v>
      </c>
      <c r="G37" s="10">
        <v>420400</v>
      </c>
      <c r="H37" t="s" s="7">
        <v>10</v>
      </c>
      <c r="I37" s="11">
        <v>45364</v>
      </c>
      <c r="J37" s="2"/>
    </row>
    <row r="38" ht="13.55" customHeight="1">
      <c r="A38" t="s" s="7">
        <v>586</v>
      </c>
      <c r="B38" s="8" cm="1">
        <f t="array" ref="B38">AVERAGE(35.437,35.919,35.607)</f>
        <v>35.6543333333333</v>
      </c>
      <c r="C38" s="8" cm="1">
        <f t="array" ref="C38">B38/G38*1000000</f>
        <v>81.83230051258499</v>
      </c>
      <c r="D38" t="str" s="2" cm="1">
        <f t="array" ref="D38">IF(ISERROR(FIND("/",E38)),"No","Yes")</f>
        <v>No</v>
      </c>
      <c r="E38" t="s" s="7">
        <v>587</v>
      </c>
      <c r="F38" t="s" s="7">
        <v>55</v>
      </c>
      <c r="G38" s="10">
        <v>435700</v>
      </c>
      <c r="H38" t="s" s="7">
        <v>10</v>
      </c>
      <c r="I38" s="11">
        <v>45364</v>
      </c>
      <c r="J38" s="2"/>
    </row>
    <row r="39" ht="13.55" customHeight="1">
      <c r="A39" t="s" s="7">
        <v>588</v>
      </c>
      <c r="B39" s="8" cm="1">
        <f t="array" ref="B39">AVERAGE(46.776,47.08)</f>
        <v>46.928</v>
      </c>
      <c r="C39" s="8" cm="1">
        <f t="array" ref="C39">B39/G39*1000000</f>
        <v>102.957437472576</v>
      </c>
      <c r="D39" t="str" s="2" cm="1">
        <f t="array" ref="D39">IF(ISERROR(FIND("/",E39)),"No","Yes")</f>
        <v>No</v>
      </c>
      <c r="E39" t="s" s="7">
        <v>589</v>
      </c>
      <c r="F39" t="s" s="7">
        <v>55</v>
      </c>
      <c r="G39" s="10">
        <v>455800</v>
      </c>
      <c r="H39" t="s" s="7">
        <v>10</v>
      </c>
      <c r="I39" s="11">
        <v>45364</v>
      </c>
      <c r="J39" s="2"/>
    </row>
    <row r="40" ht="13.55" customHeight="1">
      <c r="A40" t="s" s="7">
        <v>590</v>
      </c>
      <c r="B40" s="8" cm="1">
        <f t="array" ref="B40">AVERAGE(45.461,46.132)</f>
        <v>45.7965</v>
      </c>
      <c r="C40" s="8" cm="1">
        <f t="array" ref="C40">B40/G40*1000000</f>
        <v>96.9238095238095</v>
      </c>
      <c r="D40" t="str" s="2" cm="1">
        <f t="array" ref="D40">IF(ISERROR(FIND("/",E40)),"No","Yes")</f>
        <v>No</v>
      </c>
      <c r="E40" t="s" s="7">
        <v>591</v>
      </c>
      <c r="F40" t="s" s="7">
        <v>55</v>
      </c>
      <c r="G40" s="10">
        <v>472500</v>
      </c>
      <c r="H40" t="s" s="7">
        <v>10</v>
      </c>
      <c r="I40" s="11">
        <v>45364</v>
      </c>
      <c r="J40" s="2"/>
    </row>
    <row r="41" ht="13.55" customHeight="1">
      <c r="A41" t="s" s="7">
        <v>592</v>
      </c>
      <c r="B41" s="8" cm="1">
        <f t="array" ref="B41">AVERAGE(39.868,39.458)</f>
        <v>39.663</v>
      </c>
      <c r="C41" s="8" cm="1">
        <f t="array" ref="C41">B41/G41*1000000</f>
        <v>90.5134641716111</v>
      </c>
      <c r="D41" t="str" s="2" cm="1">
        <f t="array" ref="D41">IF(ISERROR(FIND("/",E41)),"No","Yes")</f>
        <v>No</v>
      </c>
      <c r="E41" t="s" s="7">
        <v>593</v>
      </c>
      <c r="F41" t="s" s="7">
        <v>55</v>
      </c>
      <c r="G41" s="10">
        <v>438200</v>
      </c>
      <c r="H41" t="s" s="7">
        <v>10</v>
      </c>
      <c r="I41" s="11"/>
      <c r="J41" s="2"/>
    </row>
    <row r="42" ht="13.55" customHeight="1">
      <c r="A42" t="s" s="7">
        <v>594</v>
      </c>
      <c r="B42" s="8" cm="1">
        <f t="array" ref="B42">AVERAGE(41.911,41.735)</f>
        <v>41.823</v>
      </c>
      <c r="C42" s="8" cm="1">
        <f t="array" ref="C42">B42/G42*1000000</f>
        <v>91.5164113785558</v>
      </c>
      <c r="D42" t="str" s="2" cm="1">
        <f t="array" ref="D42">IF(ISERROR(FIND("/",E42)),"No","Yes")</f>
        <v>No</v>
      </c>
      <c r="E42" t="s" s="7">
        <v>595</v>
      </c>
      <c r="F42" t="s" s="7">
        <v>55</v>
      </c>
      <c r="G42" s="10">
        <v>457000</v>
      </c>
      <c r="H42" t="s" s="7">
        <v>10</v>
      </c>
      <c r="I42" s="11">
        <v>45446</v>
      </c>
      <c r="J42" s="2"/>
    </row>
    <row r="43" ht="13.55" customHeight="1">
      <c r="A43" t="s" s="7">
        <v>596</v>
      </c>
      <c r="B43" s="8" cm="1">
        <f t="array" ref="B43">AVERAGE(47.436,48.262)</f>
        <v>47.849</v>
      </c>
      <c r="C43" s="8" cm="1">
        <f t="array" ref="C43">B43/G43*1000000</f>
        <v>95.62150279776181</v>
      </c>
      <c r="D43" t="str" s="2" cm="1">
        <f t="array" ref="D43">IF(ISERROR(FIND("/",E43)),"No","Yes")</f>
        <v>No</v>
      </c>
      <c r="E43" t="s" s="7">
        <v>597</v>
      </c>
      <c r="F43" t="s" s="7">
        <v>55</v>
      </c>
      <c r="G43" s="10">
        <v>500400</v>
      </c>
      <c r="H43" t="s" s="7">
        <v>10</v>
      </c>
      <c r="I43" s="11">
        <v>45446</v>
      </c>
      <c r="J43" s="2"/>
    </row>
    <row r="44" ht="13.55" customHeight="1">
      <c r="A44" t="s" s="7">
        <v>598</v>
      </c>
      <c r="B44" s="8" cm="1">
        <f t="array" ref="B44">AVERAGE(55.063,55.292)</f>
        <v>55.1775</v>
      </c>
      <c r="C44" s="8" cm="1">
        <f t="array" ref="C44">B44/G44*1000000</f>
        <v>94.4982017468745</v>
      </c>
      <c r="D44" t="str" s="2" cm="1">
        <f t="array" ref="D44">IF(ISERROR(FIND("/",E44)),"No","Yes")</f>
        <v>No</v>
      </c>
      <c r="E44" t="s" s="7">
        <v>599</v>
      </c>
      <c r="F44" t="s" s="7">
        <v>55</v>
      </c>
      <c r="G44" s="10">
        <v>583900</v>
      </c>
      <c r="H44" t="s" s="7">
        <v>10</v>
      </c>
      <c r="I44" s="11">
        <v>45446</v>
      </c>
      <c r="J44" s="2"/>
    </row>
    <row r="45" ht="13.55" customHeight="1">
      <c r="A45" t="s" s="7">
        <v>600</v>
      </c>
      <c r="B45" s="8" cm="1">
        <f t="array" ref="B45">AVERAGE(48.362,48.491)</f>
        <v>48.4265</v>
      </c>
      <c r="C45" s="8" cm="1">
        <f t="array" ref="C45">B45/G45*1000000</f>
        <v>99.2753177531775</v>
      </c>
      <c r="D45" t="str" s="2" cm="1">
        <f t="array" ref="D45">IF(ISERROR(FIND("/",E45)),"No","Yes")</f>
        <v>No</v>
      </c>
      <c r="E45" t="s" s="7">
        <v>601</v>
      </c>
      <c r="F45" t="s" s="7">
        <v>55</v>
      </c>
      <c r="G45" s="10">
        <v>487800</v>
      </c>
      <c r="H45" t="s" s="7">
        <v>10</v>
      </c>
      <c r="I45" s="11">
        <v>45446</v>
      </c>
      <c r="J45" s="2"/>
    </row>
    <row r="46" ht="13.55" customHeight="1">
      <c r="A46" t="s" s="7">
        <v>602</v>
      </c>
      <c r="B46" s="8" cm="1">
        <f t="array" ref="B46">AVERAGE(77.986,77.294)</f>
        <v>77.64</v>
      </c>
      <c r="C46" s="8" cm="1">
        <f t="array" ref="C46">B46/G46*1000000</f>
        <v>128.543046357616</v>
      </c>
      <c r="D46" t="str" s="2" cm="1">
        <f t="array" ref="D46">IF(ISERROR(FIND("/",E46)),"No","Yes")</f>
        <v>No</v>
      </c>
      <c r="E46" t="s" s="7">
        <v>603</v>
      </c>
      <c r="F46" t="s" s="7">
        <v>55</v>
      </c>
      <c r="G46" s="10">
        <v>604000</v>
      </c>
      <c r="H46" t="s" s="7">
        <v>10</v>
      </c>
      <c r="I46" s="11">
        <v>45446</v>
      </c>
      <c r="J46" s="2"/>
    </row>
    <row r="47" ht="13.55" customHeight="1">
      <c r="A47" t="s" s="7">
        <v>604</v>
      </c>
      <c r="B47" s="8" cm="1">
        <f t="array" ref="B47">AVERAGE(48.436,50.156)</f>
        <v>49.296</v>
      </c>
      <c r="C47" s="8" cm="1">
        <f t="array" ref="C47">B47/G47*1000000</f>
        <v>96.79167484783039</v>
      </c>
      <c r="D47" t="str" s="2" cm="1">
        <f t="array" ref="D47">IF(ISERROR(FIND("/",E47)),"No","Yes")</f>
        <v>No</v>
      </c>
      <c r="E47" t="s" s="7">
        <v>605</v>
      </c>
      <c r="F47" t="s" s="7">
        <v>55</v>
      </c>
      <c r="G47" s="10">
        <v>509300</v>
      </c>
      <c r="H47" t="s" s="7">
        <v>10</v>
      </c>
      <c r="I47" s="11">
        <v>45446</v>
      </c>
      <c r="J47" s="2"/>
    </row>
    <row r="48" ht="13.55" customHeight="1">
      <c r="A48" t="s" s="7">
        <v>606</v>
      </c>
      <c r="B48" s="8" cm="1">
        <f t="array" ref="B48">AVERAGE(59.3,59.6)</f>
        <v>59.45</v>
      </c>
      <c r="C48" s="8" cm="1">
        <f t="array" ref="C48">B48/G48*1000000</f>
        <v>94.77124183006541</v>
      </c>
      <c r="D48" t="str" s="2" cm="1">
        <f t="array" ref="D48">IF(ISERROR(FIND("/",E48)),"No","Yes")</f>
        <v>No</v>
      </c>
      <c r="E48" t="s" s="7">
        <v>607</v>
      </c>
      <c r="F48" t="s" s="7">
        <v>55</v>
      </c>
      <c r="G48" s="10">
        <v>627300</v>
      </c>
      <c r="H48" t="s" s="7">
        <v>10</v>
      </c>
      <c r="I48" s="11">
        <v>45446</v>
      </c>
      <c r="J48" s="2"/>
    </row>
    <row r="49" ht="13.55" customHeight="1">
      <c r="A49" t="s" s="7">
        <v>608</v>
      </c>
      <c r="B49" s="8" cm="1">
        <f t="array" ref="B49">AVERAGE(48.119,48.977)</f>
        <v>48.548</v>
      </c>
      <c r="C49" s="8" cm="1">
        <f t="array" ref="C49">B49/G49*1000000</f>
        <v>92.5428898208159</v>
      </c>
      <c r="D49" t="str" s="2" cm="1">
        <f t="array" ref="D49">IF(ISERROR(FIND("/",E49)),"No","Yes")</f>
        <v>No</v>
      </c>
      <c r="E49" t="s" s="7">
        <v>609</v>
      </c>
      <c r="F49" t="s" s="7">
        <v>55</v>
      </c>
      <c r="G49" s="10">
        <v>524600</v>
      </c>
      <c r="H49" t="s" s="7">
        <v>10</v>
      </c>
      <c r="I49" s="11">
        <v>45446</v>
      </c>
      <c r="J49" s="2"/>
    </row>
    <row r="50" ht="13.55" customHeight="1">
      <c r="A50" t="s" s="7">
        <v>610</v>
      </c>
      <c r="B50" s="8" cm="1">
        <f t="array" ref="B50">AVERAGE(61.423,60.863)</f>
        <v>61.143</v>
      </c>
      <c r="C50" s="8" cm="1">
        <f t="array" ref="C50">B50/G50*1000000</f>
        <v>94.4439295644115</v>
      </c>
      <c r="D50" t="str" s="2" cm="1">
        <f t="array" ref="D50">IF(ISERROR(FIND("/",E50)),"No","Yes")</f>
        <v>No</v>
      </c>
      <c r="E50" t="s" s="7">
        <v>611</v>
      </c>
      <c r="F50" t="s" s="7">
        <v>55</v>
      </c>
      <c r="G50" s="10">
        <v>647400</v>
      </c>
      <c r="H50" t="s" s="7">
        <v>10</v>
      </c>
      <c r="I50" s="11">
        <v>45446</v>
      </c>
      <c r="J50" s="2"/>
    </row>
    <row r="51" ht="13.55" customHeight="1">
      <c r="A51" t="s" s="7">
        <v>612</v>
      </c>
      <c r="B51" s="8" cm="1">
        <f t="array" ref="B51">AVERAGE(52.414,52.207)</f>
        <v>52.3105</v>
      </c>
      <c r="C51" s="8" cm="1">
        <f t="array" ref="C51">B51/G51*1000000</f>
        <v>95.7892327412562</v>
      </c>
      <c r="D51" t="str" s="2" cm="1">
        <f t="array" ref="D51">IF(ISERROR(FIND("/",E51)),"No","Yes")</f>
        <v>No</v>
      </c>
      <c r="E51" t="s" s="7">
        <v>613</v>
      </c>
      <c r="F51" t="s" s="7">
        <v>55</v>
      </c>
      <c r="G51" s="10">
        <v>546100</v>
      </c>
      <c r="H51" t="s" s="7">
        <v>10</v>
      </c>
      <c r="I51" s="11">
        <v>45446</v>
      </c>
      <c r="J51" s="2"/>
    </row>
    <row r="52" ht="13.55" customHeight="1">
      <c r="A52" t="s" s="7">
        <v>614</v>
      </c>
      <c r="B52" s="8" cm="1">
        <f t="array" ref="B52">AVERAGE(63.649,63.947)</f>
        <v>63.798</v>
      </c>
      <c r="C52" s="8" cm="1">
        <f t="array" ref="C52">B52/G52*1000000</f>
        <v>95.9801414171807</v>
      </c>
      <c r="D52" t="str" s="2" cm="1">
        <f t="array" ref="D52">IF(ISERROR(FIND("/",E52)),"No","Yes")</f>
        <v>No</v>
      </c>
      <c r="E52" t="s" s="7">
        <v>615</v>
      </c>
      <c r="F52" t="s" s="7">
        <v>55</v>
      </c>
      <c r="G52" s="10">
        <v>664700</v>
      </c>
      <c r="H52" t="s" s="7">
        <v>10</v>
      </c>
      <c r="I52" s="11">
        <v>45446</v>
      </c>
      <c r="J52" s="2"/>
    </row>
    <row r="53" ht="13.55" customHeight="1">
      <c r="A53" t="s" s="7">
        <v>616</v>
      </c>
      <c r="B53" s="8" cm="1">
        <f t="array" ref="B53">AVERAGE(57.201,56.542)</f>
        <v>56.8715</v>
      </c>
      <c r="C53" s="8" cm="1">
        <f t="array" ref="C53">B53/G53*1000000</f>
        <v>100.943379481718</v>
      </c>
      <c r="D53" t="str" s="2" cm="1">
        <f t="array" ref="D53">IF(ISERROR(FIND("/",E53)),"No","Yes")</f>
        <v>No</v>
      </c>
      <c r="E53" t="s" s="7">
        <v>617</v>
      </c>
      <c r="F53" t="s" s="7">
        <v>55</v>
      </c>
      <c r="G53" s="10">
        <v>563400</v>
      </c>
      <c r="H53" t="s" s="7">
        <v>10</v>
      </c>
      <c r="I53" s="11">
        <v>45446</v>
      </c>
      <c r="J53" s="2"/>
    </row>
    <row r="54" ht="13.55" customHeight="1">
      <c r="A54" t="s" s="7">
        <v>618</v>
      </c>
      <c r="B54" s="8" cm="1">
        <f t="array" ref="B54">AVERAGE(62.047,61.88)</f>
        <v>61.9635</v>
      </c>
      <c r="C54" s="8" cm="1">
        <f t="array" ref="C54">B54/G54*1000000</f>
        <v>92.3863128075145</v>
      </c>
      <c r="D54" t="str" s="2" cm="1">
        <f t="array" ref="D54">IF(ISERROR(FIND("/",E54)),"No","Yes")</f>
        <v>No</v>
      </c>
      <c r="E54" t="s" s="7">
        <v>619</v>
      </c>
      <c r="F54" t="s" s="7">
        <v>55</v>
      </c>
      <c r="G54" s="10">
        <v>670700</v>
      </c>
      <c r="H54" t="s" s="7">
        <v>10</v>
      </c>
      <c r="I54" s="11">
        <v>45446</v>
      </c>
      <c r="J54" s="2"/>
    </row>
    <row r="55" ht="13.55" customHeight="1">
      <c r="A55" t="s" s="7">
        <v>620</v>
      </c>
      <c r="B55" s="8" cm="1">
        <f t="array" ref="B55">AVERAGE(56.088,57.57)</f>
        <v>56.829</v>
      </c>
      <c r="C55" s="8" cm="1">
        <f t="array" ref="C55">B55/G55*1000000</f>
        <v>101.227288920556</v>
      </c>
      <c r="D55" t="str" s="2" cm="1">
        <f t="array" ref="D55">IF(ISERROR(FIND("/",E55)),"No","Yes")</f>
        <v>No</v>
      </c>
      <c r="E55" t="s" s="7">
        <v>621</v>
      </c>
      <c r="F55" t="s" s="7">
        <v>55</v>
      </c>
      <c r="G55" s="10">
        <v>561400</v>
      </c>
      <c r="H55" t="s" s="7">
        <v>10</v>
      </c>
      <c r="I55" s="11">
        <v>45446</v>
      </c>
      <c r="J55" s="2"/>
    </row>
    <row r="56" ht="13.55" customHeight="1">
      <c r="A56" t="s" s="7">
        <v>622</v>
      </c>
      <c r="B56" s="8" cm="1">
        <f t="array" ref="B56">AVERAGE(64.161,63.535)</f>
        <v>63.848</v>
      </c>
      <c r="C56" s="8" cm="1">
        <f t="array" ref="C56">B56/G56*1000000</f>
        <v>92.80232558139529</v>
      </c>
      <c r="D56" t="str" s="2" cm="1">
        <f t="array" ref="D56">IF(ISERROR(FIND("/",E56)),"No","Yes")</f>
        <v>No</v>
      </c>
      <c r="E56" t="s" s="7">
        <v>623</v>
      </c>
      <c r="F56" t="s" s="7">
        <v>55</v>
      </c>
      <c r="G56" s="10">
        <v>688000</v>
      </c>
      <c r="H56" t="s" s="7">
        <v>10</v>
      </c>
      <c r="I56" s="11">
        <v>45446</v>
      </c>
      <c r="J56" s="2"/>
    </row>
    <row r="57" ht="13.55" customHeight="1">
      <c r="A57" t="s" s="7">
        <v>624</v>
      </c>
      <c r="B57" s="8" cm="1">
        <f t="array" ref="B57">AVERAGE(56.259,56.689)</f>
        <v>56.474</v>
      </c>
      <c r="C57" s="8" cm="1">
        <f t="array" ref="C57">B57/G57*1000000</f>
        <v>97.587696561258</v>
      </c>
      <c r="D57" t="str" s="2" cm="1">
        <f t="array" ref="D57">IF(ISERROR(FIND("/",E57)),"No","Yes")</f>
        <v>No</v>
      </c>
      <c r="E57" t="s" s="7">
        <v>625</v>
      </c>
      <c r="F57" t="s" s="7">
        <v>55</v>
      </c>
      <c r="G57" s="10">
        <v>578700</v>
      </c>
      <c r="H57" t="s" s="7">
        <v>10</v>
      </c>
      <c r="I57" s="11">
        <v>45446</v>
      </c>
      <c r="J57" s="2"/>
    </row>
    <row r="58" ht="13.55" customHeight="1">
      <c r="A58" t="s" s="7">
        <v>626</v>
      </c>
      <c r="B58" s="8" cm="1">
        <f t="array" ref="B58">AVERAGE(64.28,64.656)</f>
        <v>64.468</v>
      </c>
      <c r="C58" s="8" cm="1">
        <f t="array" ref="C58">B58/G58*1000000</f>
        <v>93.323682686740</v>
      </c>
      <c r="D58" t="str" s="2" cm="1">
        <f t="array" ref="D58">IF(ISERROR(FIND("/",E58)),"No","Yes")</f>
        <v>No</v>
      </c>
      <c r="E58" t="s" s="7">
        <v>627</v>
      </c>
      <c r="F58" t="s" s="7">
        <v>55</v>
      </c>
      <c r="G58" s="10">
        <v>690800</v>
      </c>
      <c r="H58" t="s" s="7">
        <v>10</v>
      </c>
      <c r="I58" s="11">
        <v>45446</v>
      </c>
      <c r="J58" s="2"/>
    </row>
    <row r="59" ht="13.55" customHeight="1">
      <c r="A59" t="s" s="7">
        <v>628</v>
      </c>
      <c r="B59" s="8" cm="1">
        <f t="array" ref="B59">AVERAGE(60.936,59.63)</f>
        <v>60.283</v>
      </c>
      <c r="C59" s="8" cm="1">
        <f t="array" ref="C59">B59/G59*1000000</f>
        <v>103.419111339852</v>
      </c>
      <c r="D59" t="str" s="2" cm="1">
        <f t="array" ref="D59">IF(ISERROR(FIND("/",E59)),"No","Yes")</f>
        <v>No</v>
      </c>
      <c r="E59" t="s" s="7">
        <v>629</v>
      </c>
      <c r="F59" t="s" s="7">
        <v>55</v>
      </c>
      <c r="G59" s="10">
        <v>582900</v>
      </c>
      <c r="H59" t="s" s="7">
        <v>10</v>
      </c>
      <c r="I59" s="11">
        <v>45446</v>
      </c>
      <c r="J59" s="2"/>
    </row>
    <row r="60" ht="13.55" customHeight="1">
      <c r="A60" t="s" s="7">
        <v>630</v>
      </c>
      <c r="B60" s="8" cm="1">
        <f t="array" ref="B60">AVERAGE(67.288,67.169)</f>
        <v>67.2285</v>
      </c>
      <c r="C60" s="8" cm="1">
        <f t="array" ref="C60">B60/G60*1000000</f>
        <v>94.9420985736478</v>
      </c>
      <c r="D60" t="str" s="2" cm="1">
        <f t="array" ref="D60">IF(ISERROR(FIND("/",E60)),"No","Yes")</f>
        <v>No</v>
      </c>
      <c r="E60" t="s" s="7">
        <v>631</v>
      </c>
      <c r="F60" t="s" s="7">
        <v>55</v>
      </c>
      <c r="G60" s="10">
        <v>708100</v>
      </c>
      <c r="H60" t="s" s="7">
        <v>10</v>
      </c>
      <c r="I60" s="11">
        <v>45446</v>
      </c>
      <c r="J60" s="2"/>
    </row>
    <row r="61" ht="13.55" customHeight="1">
      <c r="A61" t="s" s="7">
        <v>632</v>
      </c>
      <c r="B61" s="8" cm="1">
        <f t="array" ref="B61">AVERAGE(60.166,60.047)</f>
        <v>60.1065</v>
      </c>
      <c r="C61" s="8" cm="1">
        <f t="array" ref="C61">B61/G61*1000000</f>
        <v>100.144118627124</v>
      </c>
      <c r="D61" t="str" s="2" cm="1">
        <f t="array" ref="D61">IF(ISERROR(FIND("/",E61)),"No","Yes")</f>
        <v>No</v>
      </c>
      <c r="E61" t="s" s="7">
        <v>633</v>
      </c>
      <c r="F61" t="s" s="7">
        <v>55</v>
      </c>
      <c r="G61" s="10">
        <v>600200</v>
      </c>
      <c r="H61" t="s" s="7">
        <v>10</v>
      </c>
      <c r="I61" s="11">
        <v>45446</v>
      </c>
      <c r="J61" s="2"/>
    </row>
    <row r="62" ht="13.55" customHeight="1">
      <c r="A62" t="s" s="7">
        <v>634</v>
      </c>
      <c r="B62" s="8" cm="1">
        <f t="array" ref="B62">AVERAGE(53.888,53.494)</f>
        <v>53.691</v>
      </c>
      <c r="C62" s="8" cm="1">
        <f t="array" ref="C62">B62/G62*1000000</f>
        <v>94.6764239111268</v>
      </c>
      <c r="D62" t="str" s="2" cm="1">
        <f t="array" ref="D62">IF(ISERROR(FIND("/",E62)),"No","Yes")</f>
        <v>No</v>
      </c>
      <c r="E62" t="s" s="7">
        <v>635</v>
      </c>
      <c r="F62" t="s" s="7">
        <v>55</v>
      </c>
      <c r="G62" s="10">
        <v>567100</v>
      </c>
      <c r="H62" t="s" s="7">
        <v>10</v>
      </c>
      <c r="I62" s="11">
        <v>45446</v>
      </c>
      <c r="J62" s="2"/>
    </row>
    <row r="63" ht="13.55" customHeight="1">
      <c r="A63" t="s" s="7">
        <v>636</v>
      </c>
      <c r="B63" s="8" cm="1">
        <f t="array" ref="B63">AVERAGE(64.895,64.546)</f>
        <v>64.7205</v>
      </c>
      <c r="C63" s="8" cm="1">
        <f t="array" ref="C63">B63/G63*1000000</f>
        <v>98.9761431411531</v>
      </c>
      <c r="D63" t="str" s="2" cm="1">
        <f t="array" ref="D63">IF(ISERROR(FIND("/",E63)),"No","Yes")</f>
        <v>No</v>
      </c>
      <c r="E63" t="s" s="7">
        <v>637</v>
      </c>
      <c r="F63" t="s" s="7">
        <v>55</v>
      </c>
      <c r="G63" s="10">
        <v>653900</v>
      </c>
      <c r="H63" t="s" s="7">
        <v>10</v>
      </c>
      <c r="I63" s="11">
        <v>45446</v>
      </c>
      <c r="J63" s="2"/>
    </row>
    <row r="64" ht="13.55" customHeight="1">
      <c r="A64" t="s" s="7">
        <v>638</v>
      </c>
      <c r="B64" s="8" cm="1">
        <f t="array" ref="B64">AVERAGE(44.7,45.126)</f>
        <v>44.913</v>
      </c>
      <c r="C64" s="8" cm="1">
        <f t="array" ref="C64">B64/G64*1000000</f>
        <v>97.23533232301359</v>
      </c>
      <c r="D64" t="str" s="2" cm="1">
        <f t="array" ref="D64">IF(ISERROR(FIND("/",E64)),"No","Yes")</f>
        <v>No</v>
      </c>
      <c r="E64" t="s" s="7">
        <v>639</v>
      </c>
      <c r="F64" t="s" s="7">
        <v>55</v>
      </c>
      <c r="G64" s="10">
        <v>461900</v>
      </c>
      <c r="H64" t="s" s="7">
        <v>10</v>
      </c>
      <c r="I64" s="11">
        <v>45446</v>
      </c>
      <c r="J64" s="2"/>
    </row>
    <row r="65" ht="13.55" customHeight="1">
      <c r="A65" t="s" s="7">
        <v>640</v>
      </c>
      <c r="B65" s="8" cm="1">
        <f t="array" ref="B65">AVERAGE(46.356,46.633)</f>
        <v>46.4945</v>
      </c>
      <c r="C65" s="8" cm="1">
        <f t="array" ref="C65">B65/G65*1000000</f>
        <v>95.4124769136056</v>
      </c>
      <c r="D65" t="str" s="2" cm="1">
        <f t="array" ref="D65">IF(ISERROR(FIND("/",E65)),"No","Yes")</f>
        <v>No</v>
      </c>
      <c r="E65" t="s" s="7">
        <v>641</v>
      </c>
      <c r="F65" t="s" s="7">
        <v>55</v>
      </c>
      <c r="G65" s="10">
        <v>487300</v>
      </c>
      <c r="H65" t="s" s="7">
        <v>10</v>
      </c>
      <c r="I65" s="11">
        <v>45446</v>
      </c>
      <c r="J65" s="2"/>
    </row>
    <row r="66" ht="13.55" customHeight="1">
      <c r="A66" t="s" s="7">
        <v>642</v>
      </c>
      <c r="B66" s="8" cm="1">
        <f t="array" ref="B66">AVERAGE(47.115,47.282)</f>
        <v>47.1985</v>
      </c>
      <c r="C66" s="8" cm="1">
        <f t="array" ref="C66">B66/G66*1000000</f>
        <v>93.1120536594989</v>
      </c>
      <c r="D66" t="str" s="2" cm="1">
        <f t="array" ref="D66">IF(ISERROR(FIND("/",E66)),"No","Yes")</f>
        <v>No</v>
      </c>
      <c r="E66" t="s" s="7">
        <v>643</v>
      </c>
      <c r="F66" t="s" s="7">
        <v>55</v>
      </c>
      <c r="G66" s="10">
        <v>506900</v>
      </c>
      <c r="H66" t="s" s="7">
        <v>10</v>
      </c>
      <c r="I66" s="11">
        <v>45446</v>
      </c>
      <c r="J66" s="2"/>
    </row>
    <row r="67" ht="13.55" customHeight="1">
      <c r="A67" t="s" s="7">
        <v>644</v>
      </c>
      <c r="B67" s="8" cm="1">
        <f t="array" ref="B67">AVERAGE(49.45,49.436)</f>
        <v>49.443</v>
      </c>
      <c r="C67" s="8" cm="1">
        <f t="array" ref="C67">B67/G67*1000000</f>
        <v>93.81973434535099</v>
      </c>
      <c r="D67" t="str" s="2" cm="1">
        <f t="array" ref="D67">IF(ISERROR(FIND("/",E67)),"No","Yes")</f>
        <v>No</v>
      </c>
      <c r="E67" t="s" s="7">
        <v>645</v>
      </c>
      <c r="F67" t="s" s="7">
        <v>55</v>
      </c>
      <c r="G67" s="10">
        <v>527000</v>
      </c>
      <c r="H67" t="s" s="7">
        <v>10</v>
      </c>
      <c r="I67" s="11">
        <v>45446</v>
      </c>
      <c r="J67" s="2"/>
    </row>
    <row r="68" ht="13.55" customHeight="1">
      <c r="A68" t="s" s="7">
        <v>646</v>
      </c>
      <c r="B68" s="8" cm="1">
        <f t="array" ref="B68">AVERAGE(53.534,53.786)</f>
        <v>53.66</v>
      </c>
      <c r="C68" s="8" cm="1">
        <f t="array" ref="C68">B68/G68*1000000</f>
        <v>97.99123447772099</v>
      </c>
      <c r="D68" t="str" s="2" cm="1">
        <f t="array" ref="D68">IF(ISERROR(FIND("/",E68)),"No","Yes")</f>
        <v>No</v>
      </c>
      <c r="E68" t="s" s="7">
        <v>647</v>
      </c>
      <c r="F68" t="s" s="7">
        <v>55</v>
      </c>
      <c r="G68" s="10">
        <v>547600</v>
      </c>
      <c r="H68" t="s" s="7">
        <v>10</v>
      </c>
      <c r="I68" s="11">
        <v>45446</v>
      </c>
      <c r="J68" s="2"/>
    </row>
    <row r="69" ht="13.55" customHeight="1">
      <c r="A69" t="s" s="7">
        <v>648</v>
      </c>
      <c r="B69" s="8" cm="1">
        <f t="array" ref="B69">AVERAGE(34.945,36.872)</f>
        <v>35.9085</v>
      </c>
      <c r="C69" s="8" cm="1">
        <f t="array" ref="C69">B69/G69*1000000</f>
        <v>102.128839590444</v>
      </c>
      <c r="D69" t="str" s="2" cm="1">
        <f t="array" ref="D69">IF(ISERROR(FIND("/",E69)),"No","Yes")</f>
        <v>No</v>
      </c>
      <c r="E69" t="s" s="7">
        <v>649</v>
      </c>
      <c r="F69" t="s" s="7">
        <v>55</v>
      </c>
      <c r="G69" s="10">
        <v>351600</v>
      </c>
      <c r="H69" t="s" s="7">
        <v>10</v>
      </c>
      <c r="I69" s="11">
        <v>45751</v>
      </c>
      <c r="J69" s="2"/>
    </row>
    <row r="70" ht="13.55" customHeight="1">
      <c r="A70" t="s" s="7">
        <v>650</v>
      </c>
      <c r="B70" s="8" cm="1">
        <f t="array" ref="B70">AVERAGE(35.757,36.217)</f>
        <v>35.987</v>
      </c>
      <c r="C70" s="8" cm="1">
        <f t="array" ref="C70">B70/G70*1000000</f>
        <v>98.59452054794519</v>
      </c>
      <c r="D70" t="str" s="2" cm="1">
        <f t="array" ref="D70">IF(ISERROR(FIND("/",E70)),"No","Yes")</f>
        <v>No</v>
      </c>
      <c r="E70" t="s" s="7">
        <v>651</v>
      </c>
      <c r="F70" t="s" s="7">
        <v>55</v>
      </c>
      <c r="G70" s="10">
        <v>365000</v>
      </c>
      <c r="H70" t="s" s="7">
        <v>10</v>
      </c>
      <c r="I70" s="11">
        <v>45765</v>
      </c>
      <c r="J70" s="2"/>
    </row>
    <row r="71" ht="13.55" customHeight="1">
      <c r="A71" t="s" s="7">
        <v>652</v>
      </c>
      <c r="B71" s="8" cm="1">
        <f t="array" ref="B71">AVERAGE(38.379,38.746)</f>
        <v>38.5625</v>
      </c>
      <c r="C71" s="8" cm="1">
        <f t="array" ref="C71">B71/G71*1000000</f>
        <v>102.287798408488</v>
      </c>
      <c r="D71" t="str" s="2" cm="1">
        <f t="array" ref="D71">IF(ISERROR(FIND("/",E71)),"No","Yes")</f>
        <v>No</v>
      </c>
      <c r="E71" t="s" s="7">
        <v>653</v>
      </c>
      <c r="F71" t="s" s="7">
        <v>55</v>
      </c>
      <c r="G71" s="10">
        <v>377000</v>
      </c>
      <c r="H71" t="s" s="7">
        <v>10</v>
      </c>
      <c r="I71" s="11">
        <v>45765</v>
      </c>
      <c r="J71" s="2"/>
    </row>
    <row r="72" ht="13.55" customHeight="1">
      <c r="A72" t="s" s="7">
        <v>654</v>
      </c>
      <c r="B72" s="8" cm="1">
        <f t="array" ref="B72">AVERAGE(39.426,39.969)</f>
        <v>39.6975</v>
      </c>
      <c r="C72" s="8" cm="1">
        <f t="array" ref="C72">B72/G72*1000000</f>
        <v>102.050128534704</v>
      </c>
      <c r="D72" t="str" s="2" cm="1">
        <f t="array" ref="D72">IF(ISERROR(FIND("/",E72)),"No","Yes")</f>
        <v>No</v>
      </c>
      <c r="E72" t="s" s="7">
        <v>655</v>
      </c>
      <c r="F72" t="s" s="7">
        <v>55</v>
      </c>
      <c r="G72" s="10">
        <v>389000</v>
      </c>
      <c r="H72" t="s" s="7">
        <v>10</v>
      </c>
      <c r="I72" s="11">
        <v>45765</v>
      </c>
      <c r="J72" s="2"/>
    </row>
    <row r="73" ht="13.55" customHeight="1">
      <c r="A73" s="2"/>
      <c r="B73" s="2"/>
      <c r="C73" s="2"/>
      <c r="D73" s="2"/>
      <c r="E73" s="2"/>
      <c r="F73" s="2"/>
      <c r="G73" s="3"/>
      <c r="H73" s="2"/>
      <c r="I73" s="2"/>
      <c r="J73" s="2"/>
    </row>
    <row r="74" ht="13.55" customHeight="1">
      <c r="A74" s="2"/>
      <c r="B74" s="2"/>
      <c r="C74" s="2"/>
      <c r="D74" s="2"/>
      <c r="E74" s="2"/>
      <c r="F74" s="2"/>
      <c r="G74" s="3"/>
      <c r="H74" s="2"/>
      <c r="I74" s="2"/>
      <c r="J74" s="2"/>
    </row>
    <row r="75" ht="13.55" customHeight="1">
      <c r="A75" s="2"/>
      <c r="B75" s="2"/>
      <c r="C75" s="2"/>
      <c r="D75" s="2"/>
      <c r="E75" s="2"/>
      <c r="F75" s="2"/>
      <c r="G75" s="3"/>
      <c r="H75" s="2"/>
      <c r="I75" s="2"/>
      <c r="J75" s="2"/>
    </row>
    <row r="76" ht="13.55" customHeight="1">
      <c r="A76" s="2"/>
      <c r="B76" s="2"/>
      <c r="C76" s="2"/>
      <c r="D76" s="2"/>
      <c r="E76" s="2"/>
      <c r="F76" s="2"/>
      <c r="G76" s="3"/>
      <c r="H76" s="2"/>
      <c r="I76" s="2"/>
      <c r="J76" s="2"/>
    </row>
    <row r="77" ht="13.55" customHeight="1">
      <c r="A77" s="2"/>
      <c r="B77" s="2"/>
      <c r="C77" s="2"/>
      <c r="D77" s="2"/>
      <c r="E77" s="2"/>
      <c r="F77" s="2"/>
      <c r="G77" s="3"/>
      <c r="H77" s="2"/>
      <c r="I77" s="2"/>
      <c r="J77" s="2"/>
    </row>
    <row r="78" ht="13.55" customHeight="1">
      <c r="A78" s="2"/>
      <c r="B78" s="2"/>
      <c r="C78" s="2"/>
      <c r="D78" s="2"/>
      <c r="E78" s="2"/>
      <c r="F78" s="2"/>
      <c r="G78" s="3"/>
      <c r="H78" s="2"/>
      <c r="I78" s="2"/>
      <c r="J78" s="2"/>
    </row>
    <row r="79" ht="13.55" customHeight="1">
      <c r="A79" s="2"/>
      <c r="B79" s="2"/>
      <c r="C79" s="2"/>
      <c r="D79" s="2"/>
      <c r="E79" s="2"/>
      <c r="F79" s="2"/>
      <c r="G79" s="3"/>
      <c r="H79" s="2"/>
      <c r="I79" s="2"/>
      <c r="J79" s="2"/>
    </row>
    <row r="80" ht="13.55" customHeight="1">
      <c r="A80" s="2"/>
      <c r="B80" s="2"/>
      <c r="C80" s="2"/>
      <c r="D80" s="2"/>
      <c r="E80" s="2"/>
      <c r="F80" s="2"/>
      <c r="G80" s="3"/>
      <c r="H80" s="2"/>
      <c r="I80" s="2"/>
      <c r="J80" s="2"/>
    </row>
    <row r="81" ht="13.55" customHeight="1">
      <c r="A81" s="2"/>
      <c r="B81" s="2"/>
      <c r="C81" s="2"/>
      <c r="D81" s="2"/>
      <c r="E81" s="2"/>
      <c r="F81" s="2"/>
      <c r="G81" s="3"/>
      <c r="H81" s="2"/>
      <c r="I81" s="2"/>
      <c r="J81" s="2"/>
    </row>
    <row r="82" ht="13.55" customHeight="1">
      <c r="A82" s="2"/>
      <c r="B82" s="2"/>
      <c r="C82" s="2"/>
      <c r="D82" s="2"/>
      <c r="E82" s="2"/>
      <c r="F82" s="2"/>
      <c r="G82" s="3"/>
      <c r="H82" s="2"/>
      <c r="I82" s="2"/>
      <c r="J82" s="2"/>
    </row>
    <row r="83" ht="13.55" customHeight="1">
      <c r="A83" s="2"/>
      <c r="B83" s="2"/>
      <c r="C83" s="2"/>
      <c r="D83" s="2"/>
      <c r="E83" s="2"/>
      <c r="F83" s="2"/>
      <c r="G83" s="3"/>
      <c r="H83" s="2"/>
      <c r="I83" s="2"/>
      <c r="J83" s="2"/>
    </row>
    <row r="84" ht="13.55" customHeight="1">
      <c r="A84" s="2"/>
      <c r="B84" s="2"/>
      <c r="C84" s="2"/>
      <c r="D84" s="2"/>
      <c r="E84" s="2"/>
      <c r="F84" s="2"/>
      <c r="G84" s="3"/>
      <c r="H84" s="2"/>
      <c r="I84" s="2"/>
      <c r="J84" s="2"/>
    </row>
    <row r="85" ht="13.55" customHeight="1">
      <c r="A85" s="2"/>
      <c r="B85" s="2"/>
      <c r="C85" s="2"/>
      <c r="D85" s="2"/>
      <c r="E85" s="2"/>
      <c r="F85" s="2"/>
      <c r="G85" s="3"/>
      <c r="H85" s="2"/>
      <c r="I85" s="2"/>
      <c r="J85" s="2"/>
    </row>
    <row r="86" ht="13.55" customHeight="1">
      <c r="A86" s="2"/>
      <c r="B86" s="2"/>
      <c r="C86" s="2"/>
      <c r="D86" s="2"/>
      <c r="E86" s="2"/>
      <c r="F86" s="2"/>
      <c r="G86" s="3"/>
      <c r="H86" s="2"/>
      <c r="I86" s="2"/>
      <c r="J86" s="2"/>
    </row>
    <row r="87" ht="13.55" customHeight="1">
      <c r="A87" s="2"/>
      <c r="B87" s="2"/>
      <c r="C87" s="2"/>
      <c r="D87" s="2"/>
      <c r="E87" s="2"/>
      <c r="F87" s="2"/>
      <c r="G87" s="3"/>
      <c r="H87" s="2"/>
      <c r="I87" s="2"/>
      <c r="J87" s="2"/>
    </row>
    <row r="88" ht="13.55" customHeight="1">
      <c r="A88" s="2"/>
      <c r="B88" s="2"/>
      <c r="C88" s="2"/>
      <c r="D88" s="2"/>
      <c r="E88" s="2"/>
      <c r="F88" s="2"/>
      <c r="G88" s="3"/>
      <c r="H88" s="2"/>
      <c r="I88" s="2"/>
      <c r="J88" s="2"/>
    </row>
    <row r="89" ht="13.55" customHeight="1">
      <c r="A89" s="2"/>
      <c r="B89" s="2"/>
      <c r="C89" s="2"/>
      <c r="D89" s="2"/>
      <c r="E89" s="2"/>
      <c r="F89" s="2"/>
      <c r="G89" s="3"/>
      <c r="H89" s="2"/>
      <c r="I89" s="2"/>
      <c r="J89" s="2"/>
    </row>
    <row r="90" ht="13.55" customHeight="1">
      <c r="A90" s="2"/>
      <c r="B90" s="2"/>
      <c r="C90" s="2"/>
      <c r="D90" s="2"/>
      <c r="E90" s="2"/>
      <c r="F90" s="2"/>
      <c r="G90" s="3"/>
      <c r="H90" s="2"/>
      <c r="I90" s="2"/>
      <c r="J90" s="2"/>
    </row>
    <row r="91" ht="13.55" customHeight="1">
      <c r="A91" s="2"/>
      <c r="B91" s="2"/>
      <c r="C91" s="2"/>
      <c r="D91" s="2"/>
      <c r="E91" s="2"/>
      <c r="F91" s="2"/>
      <c r="G91" s="3"/>
      <c r="H91" s="2"/>
      <c r="I91" s="2"/>
      <c r="J91" s="2"/>
    </row>
    <row r="92" ht="13.55" customHeight="1">
      <c r="A92" s="2"/>
      <c r="B92" s="2"/>
      <c r="C92" s="2"/>
      <c r="D92" s="2"/>
      <c r="E92" s="2"/>
      <c r="F92" s="2"/>
      <c r="G92" s="3"/>
      <c r="H92" s="2"/>
      <c r="I92" s="2"/>
      <c r="J92" s="2"/>
    </row>
    <row r="93" ht="13.55" customHeight="1">
      <c r="A93" s="2"/>
      <c r="B93" s="2"/>
      <c r="C93" s="2"/>
      <c r="D93" s="2"/>
      <c r="E93" s="2"/>
      <c r="F93" s="2"/>
      <c r="G93" s="3"/>
      <c r="H93" s="2"/>
      <c r="I93" s="2"/>
      <c r="J93" s="2"/>
    </row>
    <row r="94" ht="13.55" customHeight="1">
      <c r="A94" s="2"/>
      <c r="B94" s="2"/>
      <c r="C94" s="2"/>
      <c r="D94" s="2"/>
      <c r="E94" s="2"/>
      <c r="F94" s="2"/>
      <c r="G94" s="3"/>
      <c r="H94" s="2"/>
      <c r="I94" s="2"/>
      <c r="J94" s="2"/>
    </row>
    <row r="95" ht="13.55" customHeight="1">
      <c r="A95" s="2"/>
      <c r="B95" s="2"/>
      <c r="C95" s="2"/>
      <c r="D95" s="2"/>
      <c r="E95" s="2"/>
      <c r="F95" s="2"/>
      <c r="G95" s="3"/>
      <c r="H95" s="2"/>
      <c r="I95" s="2"/>
      <c r="J95" s="2"/>
    </row>
    <row r="96" ht="13.55" customHeight="1">
      <c r="A96" s="2"/>
      <c r="B96" s="2"/>
      <c r="C96" s="2"/>
      <c r="D96" s="2"/>
      <c r="E96" s="2"/>
      <c r="F96" s="2"/>
      <c r="G96" s="3"/>
      <c r="H96" s="2"/>
      <c r="I96" s="2"/>
      <c r="J96" s="2"/>
    </row>
    <row r="97" ht="13.55" customHeight="1">
      <c r="A97" s="2"/>
      <c r="B97" s="2"/>
      <c r="C97" s="2"/>
      <c r="D97" s="2"/>
      <c r="E97" s="2"/>
      <c r="F97" s="2"/>
      <c r="G97" s="3"/>
      <c r="H97" s="2"/>
      <c r="I97" s="2"/>
      <c r="J97" s="2"/>
    </row>
    <row r="98" ht="13.55" customHeight="1">
      <c r="A98" s="2"/>
      <c r="B98" s="2"/>
      <c r="C98" s="2"/>
      <c r="D98" s="2"/>
      <c r="E98" s="2"/>
      <c r="F98" s="2"/>
      <c r="G98" s="3"/>
      <c r="H98" s="2"/>
      <c r="I98" s="2"/>
      <c r="J98" s="2"/>
    </row>
    <row r="99" ht="13.55" customHeight="1">
      <c r="A99" s="2"/>
      <c r="B99" s="2"/>
      <c r="C99" s="2"/>
      <c r="D99" s="2"/>
      <c r="E99" s="2"/>
      <c r="F99" s="2"/>
      <c r="G99" s="3"/>
      <c r="H99" s="2"/>
      <c r="I99" s="2"/>
      <c r="J99" s="2"/>
    </row>
    <row r="100" ht="13.55" customHeight="1">
      <c r="A100" s="2"/>
      <c r="B100" s="2"/>
      <c r="C100" s="2"/>
      <c r="D100" s="2"/>
      <c r="E100" s="2"/>
      <c r="F100" s="2"/>
      <c r="G100" s="3"/>
      <c r="H100" s="2"/>
      <c r="I100" s="2"/>
      <c r="J100" s="2"/>
    </row>
    <row r="101" ht="13.55" customHeight="1">
      <c r="A101" s="2"/>
      <c r="B101" s="2"/>
      <c r="C101" s="2"/>
      <c r="D101" s="2"/>
      <c r="E101" s="2"/>
      <c r="F101" s="2"/>
      <c r="G101" s="3"/>
      <c r="H101" s="2"/>
      <c r="I101" s="2"/>
      <c r="J101" s="2"/>
    </row>
    <row r="102" ht="13.55" customHeight="1">
      <c r="A102" s="2"/>
      <c r="B102" s="2"/>
      <c r="C102" s="2"/>
      <c r="D102" s="2"/>
      <c r="E102" s="2"/>
      <c r="F102" s="2"/>
      <c r="G102" s="3"/>
      <c r="H102" s="2"/>
      <c r="I102" s="2"/>
      <c r="J102" s="2"/>
    </row>
    <row r="103" ht="13.55" customHeight="1">
      <c r="A103" s="2"/>
      <c r="B103" s="2"/>
      <c r="C103" s="2"/>
      <c r="D103" s="2"/>
      <c r="E103" s="2"/>
      <c r="F103" s="2"/>
      <c r="G103" s="3"/>
      <c r="H103" s="2"/>
      <c r="I103" s="2"/>
      <c r="J103" s="2"/>
    </row>
    <row r="104" ht="13.55" customHeight="1">
      <c r="A104" s="2"/>
      <c r="B104" s="2"/>
      <c r="C104" s="2"/>
      <c r="D104" s="2"/>
      <c r="E104" s="2"/>
      <c r="F104" s="2"/>
      <c r="G104" s="3"/>
      <c r="H104" s="2"/>
      <c r="I104" s="13"/>
      <c r="J104" s="2"/>
    </row>
    <row r="105" ht="13.55" customHeight="1">
      <c r="A105" s="2"/>
      <c r="B105" s="2"/>
      <c r="C105" s="2"/>
      <c r="D105" s="2"/>
      <c r="E105" s="2"/>
      <c r="F105" s="2"/>
      <c r="G105" s="3"/>
      <c r="H105" s="2"/>
      <c r="I105" s="13"/>
      <c r="J105" s="2"/>
    </row>
    <row r="106" ht="13.55" customHeight="1">
      <c r="A106" s="2"/>
      <c r="B106" s="2"/>
      <c r="C106" s="2"/>
      <c r="D106" s="2"/>
      <c r="E106" s="2"/>
      <c r="F106" s="2"/>
      <c r="G106" s="3"/>
      <c r="H106" s="2"/>
      <c r="I106" s="13"/>
      <c r="J106" s="2"/>
    </row>
    <row r="107" ht="13.55" customHeight="1">
      <c r="A107" s="2"/>
      <c r="B107" s="2"/>
      <c r="C107" s="2"/>
      <c r="D107" s="2"/>
      <c r="E107" s="2"/>
      <c r="F107" s="2"/>
      <c r="G107" s="3"/>
      <c r="H107" s="2"/>
      <c r="I107" s="13"/>
      <c r="J107" s="2"/>
    </row>
    <row r="108" ht="13.55" customHeight="1">
      <c r="A108" s="2"/>
      <c r="B108" s="2"/>
      <c r="C108" s="2"/>
      <c r="D108" s="2"/>
      <c r="E108" s="2"/>
      <c r="F108" s="2"/>
      <c r="G108" s="3"/>
      <c r="H108" s="2"/>
      <c r="I108" s="13"/>
      <c r="J108" s="2"/>
    </row>
    <row r="109" ht="13.55" customHeight="1">
      <c r="A109" s="2"/>
      <c r="B109" s="2"/>
      <c r="C109" s="2"/>
      <c r="D109" s="2"/>
      <c r="E109" s="2"/>
      <c r="F109" s="2"/>
      <c r="G109" s="3"/>
      <c r="H109" s="2"/>
      <c r="I109" s="13"/>
      <c r="J109" s="2"/>
    </row>
    <row r="110" ht="13.55" customHeight="1">
      <c r="A110" s="2"/>
      <c r="B110" s="2"/>
      <c r="C110" s="2"/>
      <c r="D110" s="2"/>
      <c r="E110" s="2"/>
      <c r="F110" s="2"/>
      <c r="G110" s="3"/>
      <c r="H110" s="2"/>
      <c r="I110" s="13"/>
      <c r="J110" s="2"/>
    </row>
    <row r="111" ht="13.55" customHeight="1">
      <c r="A111" s="2"/>
      <c r="B111" s="2"/>
      <c r="C111" s="2"/>
      <c r="D111" s="2"/>
      <c r="E111" s="2"/>
      <c r="F111" s="2"/>
      <c r="G111" s="3"/>
      <c r="H111" s="2"/>
      <c r="I111" s="13"/>
      <c r="J111" s="2"/>
    </row>
    <row r="112" ht="13.55" customHeight="1">
      <c r="A112" s="2"/>
      <c r="B112" s="2"/>
      <c r="C112" s="2"/>
      <c r="D112" s="2"/>
      <c r="E112" s="2"/>
      <c r="F112" s="2"/>
      <c r="G112" s="3"/>
      <c r="H112" s="2"/>
      <c r="I112" s="2"/>
      <c r="J112" s="2"/>
    </row>
    <row r="113" ht="13.55" customHeight="1">
      <c r="A113" s="2"/>
      <c r="B113" s="2"/>
      <c r="C113" s="2"/>
      <c r="D113" s="2"/>
      <c r="E113" s="2"/>
      <c r="F113" s="2"/>
      <c r="G113" s="3"/>
      <c r="H113" s="2"/>
      <c r="I113" s="2"/>
      <c r="J113" s="2"/>
    </row>
    <row r="114" ht="13.55" customHeight="1">
      <c r="A114" s="2"/>
      <c r="B114" s="2"/>
      <c r="C114" s="2"/>
      <c r="D114" s="2"/>
      <c r="E114" s="2"/>
      <c r="F114" s="2"/>
      <c r="G114" s="3"/>
      <c r="H114" s="2"/>
      <c r="I114" s="2"/>
      <c r="J114" s="2"/>
    </row>
    <row r="115" ht="13.55" customHeight="1">
      <c r="A115" s="2"/>
      <c r="B115" s="2"/>
      <c r="C115" s="2"/>
      <c r="D115" s="2"/>
      <c r="E115" s="2"/>
      <c r="F115" s="2"/>
      <c r="G115" s="3"/>
      <c r="H115" s="2"/>
      <c r="I115" s="2"/>
      <c r="J115" s="2"/>
    </row>
    <row r="116" ht="13.55" customHeight="1">
      <c r="A116" s="2"/>
      <c r="B116" s="2"/>
      <c r="C116" s="2"/>
      <c r="D116" s="2"/>
      <c r="E116" s="2"/>
      <c r="F116" s="2"/>
      <c r="G116" s="3"/>
      <c r="H116" s="2"/>
      <c r="I116" s="2"/>
      <c r="J116" s="2"/>
    </row>
    <row r="117" ht="13.55" customHeight="1">
      <c r="A117" s="2"/>
      <c r="B117" s="2"/>
      <c r="C117" s="2"/>
      <c r="D117" s="2"/>
      <c r="E117" s="2"/>
      <c r="F117" s="2"/>
      <c r="G117" s="3"/>
      <c r="H117" s="2"/>
      <c r="I117" s="2"/>
      <c r="J117" s="2"/>
    </row>
    <row r="118" ht="13.55" customHeight="1">
      <c r="A118" s="2"/>
      <c r="B118" s="2"/>
      <c r="C118" s="2"/>
      <c r="D118" s="2"/>
      <c r="E118" s="2"/>
      <c r="F118" s="2"/>
      <c r="G118" s="3"/>
      <c r="H118" s="2"/>
      <c r="I118" s="2"/>
      <c r="J118" s="2"/>
    </row>
    <row r="119" ht="13.55" customHeight="1">
      <c r="A119" s="2"/>
      <c r="B119" s="2"/>
      <c r="C119" s="2"/>
      <c r="D119" s="2"/>
      <c r="E119" s="2"/>
      <c r="F119" s="2"/>
      <c r="G119" s="3"/>
      <c r="H119" s="2"/>
      <c r="I119" s="2"/>
      <c r="J119" s="2"/>
    </row>
    <row r="120" ht="13.55" customHeight="1">
      <c r="A120" s="2"/>
      <c r="B120" s="2"/>
      <c r="C120" s="2"/>
      <c r="D120" s="2"/>
      <c r="E120" s="2"/>
      <c r="F120" s="2"/>
      <c r="G120" s="3"/>
      <c r="H120" s="2"/>
      <c r="I120" s="2"/>
      <c r="J120" s="2"/>
    </row>
    <row r="121" ht="13.55" customHeight="1">
      <c r="A121" s="2"/>
      <c r="B121" s="2"/>
      <c r="C121" s="2"/>
      <c r="D121" s="2"/>
      <c r="E121" s="2"/>
      <c r="F121" s="2"/>
      <c r="G121" s="3"/>
      <c r="H121" s="2"/>
      <c r="I121" s="2"/>
      <c r="J121" s="2"/>
    </row>
    <row r="122" ht="13.55" customHeight="1">
      <c r="A122" s="2"/>
      <c r="B122" s="2"/>
      <c r="C122" s="2"/>
      <c r="D122" s="2"/>
      <c r="E122" s="2"/>
      <c r="F122" s="2"/>
      <c r="G122" s="3"/>
      <c r="H122" s="2"/>
      <c r="I122" s="2"/>
      <c r="J122" s="2"/>
    </row>
    <row r="123" ht="13.55" customHeight="1">
      <c r="A123" s="2"/>
      <c r="B123" s="2"/>
      <c r="C123" s="2"/>
      <c r="D123" s="2"/>
      <c r="E123" s="2"/>
      <c r="F123" s="2"/>
      <c r="G123" s="3"/>
      <c r="H123" s="2"/>
      <c r="I123" s="2"/>
      <c r="J123" s="2"/>
    </row>
    <row r="124" ht="13.55" customHeight="1">
      <c r="A124" s="2"/>
      <c r="B124" s="2"/>
      <c r="C124" s="2"/>
      <c r="D124" s="2"/>
      <c r="E124" s="2"/>
      <c r="F124" s="2"/>
      <c r="G124" s="3"/>
      <c r="H124" s="2"/>
      <c r="I124" s="2"/>
      <c r="J124" s="2"/>
    </row>
    <row r="125" ht="13.55" customHeight="1">
      <c r="A125" s="2"/>
      <c r="B125" s="2"/>
      <c r="C125" s="2"/>
      <c r="D125" s="2"/>
      <c r="E125" s="2"/>
      <c r="F125" s="2"/>
      <c r="G125" s="3"/>
      <c r="H125" s="2"/>
      <c r="I125" s="2"/>
      <c r="J125" s="2"/>
    </row>
    <row r="126" ht="13.55" customHeight="1">
      <c r="A126" s="2"/>
      <c r="B126" s="2"/>
      <c r="C126" s="2"/>
      <c r="D126" s="2"/>
      <c r="E126" s="2"/>
      <c r="F126" s="2"/>
      <c r="G126" s="3"/>
      <c r="H126" s="2"/>
      <c r="I126" s="13"/>
      <c r="J126" s="2"/>
    </row>
    <row r="127" ht="13.55" customHeight="1">
      <c r="A127" s="2"/>
      <c r="B127" s="2"/>
      <c r="C127" s="2"/>
      <c r="D127" s="2"/>
      <c r="E127" s="2"/>
      <c r="F127" s="2"/>
      <c r="G127" s="3"/>
      <c r="H127" s="2"/>
      <c r="I127" s="13"/>
      <c r="J127" s="2"/>
    </row>
    <row r="128" ht="13.55" customHeight="1">
      <c r="A128" s="2"/>
      <c r="B128" s="2"/>
      <c r="C128" s="2"/>
      <c r="D128" s="2"/>
      <c r="E128" s="2"/>
      <c r="F128" s="2"/>
      <c r="G128" s="3"/>
      <c r="H128" s="2"/>
      <c r="I128" s="13"/>
      <c r="J128" s="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2" width="8.85156" style="28" customWidth="1"/>
    <col min="3" max="3" width="209" style="28" customWidth="1"/>
    <col min="4" max="5" width="8.85156" style="28" customWidth="1"/>
    <col min="6" max="16384" width="8.85156" style="28" customWidth="1"/>
  </cols>
  <sheetData>
    <row r="1" ht="13.55" customHeight="1">
      <c r="A1" s="29"/>
      <c r="B1" s="29"/>
      <c r="C1" t="s" s="30">
        <v>656</v>
      </c>
      <c r="D1" s="29"/>
      <c r="E1" s="29"/>
    </row>
    <row r="2" ht="13.55" customHeight="1">
      <c r="A2" s="29"/>
      <c r="B2" s="29"/>
      <c r="C2" t="s" s="31">
        <v>657</v>
      </c>
      <c r="D2" s="29"/>
      <c r="E2" s="29"/>
    </row>
    <row r="3" ht="13.55" customHeight="1">
      <c r="A3" s="29"/>
      <c r="B3" s="29"/>
      <c r="C3" s="29"/>
      <c r="D3" s="29"/>
      <c r="E3" s="29"/>
    </row>
    <row r="4" ht="13.55" customHeight="1">
      <c r="A4" s="29"/>
      <c r="B4" s="29"/>
      <c r="C4" s="29"/>
      <c r="D4" s="29"/>
      <c r="E4" s="29"/>
    </row>
    <row r="5" ht="13.55" customHeight="1">
      <c r="A5" s="29"/>
      <c r="B5" s="29"/>
      <c r="C5" s="29"/>
      <c r="D5" s="29"/>
      <c r="E5" s="29"/>
    </row>
    <row r="6" ht="13.55" customHeight="1">
      <c r="A6" s="29"/>
      <c r="B6" s="29"/>
      <c r="C6" s="29"/>
      <c r="D6" s="29"/>
      <c r="E6" s="29"/>
    </row>
    <row r="7" ht="13.55" customHeight="1">
      <c r="A7" s="29"/>
      <c r="B7" s="29"/>
      <c r="C7" t="s" s="30">
        <v>658</v>
      </c>
      <c r="D7" s="29"/>
      <c r="E7" s="29"/>
    </row>
    <row r="8" ht="13.55" customHeight="1">
      <c r="A8" s="29"/>
      <c r="B8" s="29"/>
      <c r="C8" t="s" s="31">
        <v>659</v>
      </c>
      <c r="D8" s="29"/>
      <c r="E8" s="29"/>
    </row>
    <row r="9" ht="13.55" customHeight="1">
      <c r="A9" s="29"/>
      <c r="B9" s="29"/>
      <c r="C9" s="29"/>
      <c r="D9" s="29"/>
      <c r="E9" s="29"/>
    </row>
    <row r="10" ht="13.55" customHeight="1">
      <c r="A10" s="29"/>
      <c r="B10" s="29"/>
      <c r="C10" t="s" s="31">
        <v>660</v>
      </c>
      <c r="D10" s="29"/>
      <c r="E10" s="29"/>
    </row>
    <row r="11" ht="13.55" customHeight="1">
      <c r="A11" s="29"/>
      <c r="B11" s="29"/>
      <c r="C11" t="s" s="31">
        <v>661</v>
      </c>
      <c r="D11" s="29"/>
      <c r="E11" s="29"/>
    </row>
    <row r="12" ht="13.55" customHeight="1">
      <c r="A12" s="29"/>
      <c r="B12" s="29"/>
      <c r="C12" t="s" s="31">
        <v>662</v>
      </c>
      <c r="D12" s="29"/>
      <c r="E12" s="2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