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P:\GitHub\Protocol_bot\data\Stock_Repository\"/>
    </mc:Choice>
  </mc:AlternateContent>
  <xr:revisionPtr revIDLastSave="0" documentId="13_ncr:1_{127E2B54-EB21-304F-BDE7-26C4B7EDC9CF}" xr6:coauthVersionLast="47" xr6:coauthVersionMax="47" xr10:uidLastSave="{00000000-0000-0000-0000-000000000000}"/>
  <bookViews>
    <workbookView xWindow="-57720" yWindow="-16185" windowWidth="38640" windowHeight="21120" tabRatio="757" firstSheet="1" activeTab="12" xr2:uid="{F24A4991-2CBC-4357-B239-AC7F98BD1934}"/>
  </bookViews>
  <sheets>
    <sheet name="G0" sheetId="16" r:id="rId1"/>
    <sheet name="G1" sheetId="1" r:id="rId2"/>
    <sheet name="G2" sheetId="2" r:id="rId3"/>
    <sheet name="G3" sheetId="3" r:id="rId4"/>
    <sheet name="G4" sheetId="4" r:id="rId5"/>
    <sheet name="G5" sheetId="13" r:id="rId6"/>
    <sheet name="G8" sheetId="11" r:id="rId7"/>
    <sheet name="G9" sheetId="10" r:id="rId8"/>
    <sheet name="G13" sheetId="12" r:id="rId9"/>
    <sheet name="G20" sheetId="17" r:id="rId10"/>
    <sheet name="G21" sheetId="18" r:id="rId11"/>
    <sheet name="G22" sheetId="19" r:id="rId12"/>
    <sheet name="Signalling" sheetId="5" r:id="rId13"/>
    <sheet name="Dummy and Junk" sheetId="14" r:id="rId14"/>
    <sheet name="Glue" sheetId="15" r:id="rId15"/>
    <sheet name="Conventions" sheetId="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4" l="1"/>
  <c r="C15" i="4" s="1"/>
  <c r="B14" i="11"/>
  <c r="C14" i="11" s="1"/>
  <c r="B29" i="3"/>
  <c r="C29" i="3" s="1"/>
  <c r="B15" i="11"/>
  <c r="C15" i="11" s="1"/>
  <c r="B30" i="3"/>
  <c r="C30" i="3" s="1"/>
  <c r="B16" i="4"/>
  <c r="C16" i="4" s="1"/>
  <c r="B49" i="1"/>
  <c r="C49" i="1" s="1"/>
  <c r="B48" i="1"/>
  <c r="C48" i="1" s="1"/>
  <c r="B47" i="1"/>
  <c r="C47" i="1" s="1"/>
  <c r="B14" i="4"/>
  <c r="B94" i="5"/>
  <c r="C94" i="5" s="1"/>
  <c r="B50" i="1"/>
  <c r="C50" i="1" s="1"/>
  <c r="D50" i="1"/>
  <c r="D51" i="1"/>
  <c r="C51" i="1"/>
  <c r="C95" i="5"/>
  <c r="D94" i="5"/>
  <c r="D95" i="5"/>
  <c r="D14" i="11"/>
  <c r="D15" i="11"/>
  <c r="D16" i="4"/>
  <c r="D15" i="4"/>
  <c r="D29" i="3"/>
  <c r="D30" i="3"/>
  <c r="D47" i="1"/>
  <c r="D48" i="1"/>
  <c r="D49" i="1"/>
  <c r="D92" i="5"/>
  <c r="D93" i="5"/>
  <c r="C92" i="5"/>
  <c r="C93" i="5"/>
  <c r="B14" i="5"/>
  <c r="B91" i="5" l="1"/>
  <c r="C91" i="5" s="1"/>
  <c r="B90" i="5"/>
  <c r="C90" i="5" s="1"/>
  <c r="B89" i="5"/>
  <c r="C89" i="5"/>
  <c r="B88" i="5"/>
  <c r="C88" i="5" s="1"/>
  <c r="B87" i="5"/>
  <c r="B86" i="5"/>
  <c r="C86" i="5" s="1"/>
  <c r="B85" i="5"/>
  <c r="C85" i="5" s="1"/>
  <c r="D85" i="5"/>
  <c r="D86" i="5"/>
  <c r="D87" i="5"/>
  <c r="D88" i="5"/>
  <c r="D89" i="5"/>
  <c r="D90" i="5"/>
  <c r="D91" i="5"/>
  <c r="C87" i="5"/>
  <c r="B4" i="15" l="1"/>
  <c r="B19" i="13"/>
  <c r="B72" i="15"/>
  <c r="C72" i="15" s="1"/>
  <c r="B71" i="15"/>
  <c r="C71" i="15"/>
  <c r="B70" i="15"/>
  <c r="C70" i="15" s="1"/>
  <c r="D70" i="15"/>
  <c r="D71" i="15"/>
  <c r="D72" i="15"/>
  <c r="B84" i="5"/>
  <c r="B83" i="5"/>
  <c r="B69" i="15"/>
  <c r="C69" i="15" s="1"/>
  <c r="D69" i="15"/>
  <c r="B24" i="13" l="1"/>
  <c r="C24" i="13" s="1"/>
  <c r="D24" i="13"/>
  <c r="D83" i="5"/>
  <c r="D84" i="5"/>
  <c r="C83" i="5"/>
  <c r="C84" i="5"/>
  <c r="C46" i="1"/>
  <c r="D46" i="1"/>
  <c r="B22" i="13"/>
  <c r="B3" i="19"/>
  <c r="B11" i="17"/>
  <c r="B23" i="13"/>
  <c r="B5" i="19"/>
  <c r="B5" i="18"/>
  <c r="B4" i="19"/>
  <c r="B4" i="18"/>
  <c r="B10" i="17"/>
  <c r="B21" i="13"/>
  <c r="B3" i="18"/>
  <c r="D11" i="17" l="1"/>
  <c r="C11" i="17"/>
  <c r="D10" i="17"/>
  <c r="C10" i="17"/>
  <c r="D23" i="13"/>
  <c r="C23" i="13"/>
  <c r="D22" i="13"/>
  <c r="C22" i="13"/>
  <c r="C21" i="13"/>
  <c r="D21" i="13"/>
  <c r="D4" i="19"/>
  <c r="D5" i="19"/>
  <c r="D4" i="18"/>
  <c r="D5" i="18"/>
  <c r="D3" i="18"/>
  <c r="D3" i="19"/>
  <c r="C5" i="19"/>
  <c r="C4" i="19"/>
  <c r="C3" i="19"/>
  <c r="C5" i="18"/>
  <c r="C4" i="18"/>
  <c r="C3" i="18"/>
  <c r="B80" i="5"/>
  <c r="B81" i="5"/>
  <c r="B82" i="5"/>
  <c r="B9" i="17"/>
  <c r="C9" i="17" l="1"/>
  <c r="D9" i="17"/>
  <c r="C80" i="5"/>
  <c r="C81" i="5"/>
  <c r="C82" i="5"/>
  <c r="D80" i="5"/>
  <c r="D81" i="5"/>
  <c r="D82" i="5"/>
  <c r="B7" i="17" l="1"/>
  <c r="B8" i="17"/>
  <c r="B16" i="5" l="1"/>
  <c r="B79" i="5" l="1"/>
  <c r="C79" i="5" s="1"/>
  <c r="B78" i="5"/>
  <c r="C78" i="5" s="1"/>
  <c r="B77" i="5"/>
  <c r="B76" i="5"/>
  <c r="B75" i="5"/>
  <c r="D75" i="5"/>
  <c r="D76" i="5"/>
  <c r="D77" i="5"/>
  <c r="D78" i="5"/>
  <c r="D79" i="5"/>
  <c r="C75" i="5"/>
  <c r="C76" i="5"/>
  <c r="C77" i="5"/>
  <c r="B15" i="5" l="1"/>
  <c r="B20" i="13"/>
  <c r="C20" i="13"/>
  <c r="B13" i="11"/>
  <c r="B45" i="1"/>
  <c r="C45" i="1" s="1"/>
  <c r="B44" i="1"/>
  <c r="D45" i="1"/>
  <c r="D20" i="13"/>
  <c r="D13" i="11"/>
  <c r="C13" i="11"/>
  <c r="C44" i="1"/>
  <c r="D44" i="1"/>
  <c r="B62" i="5" l="1"/>
  <c r="B69" i="5"/>
  <c r="B61" i="5"/>
  <c r="B68" i="5"/>
  <c r="B65" i="5"/>
  <c r="B72" i="5"/>
  <c r="B64" i="5"/>
  <c r="B71" i="5"/>
  <c r="B67" i="5"/>
  <c r="B74" i="5"/>
  <c r="B66" i="5"/>
  <c r="B73" i="5"/>
  <c r="B63" i="5"/>
  <c r="B70" i="5"/>
  <c r="B60" i="5"/>
  <c r="D61" i="5" l="1"/>
  <c r="D62" i="5"/>
  <c r="D63" i="5"/>
  <c r="D64" i="5"/>
  <c r="D65" i="5"/>
  <c r="D66" i="5"/>
  <c r="D67" i="5"/>
  <c r="D68" i="5"/>
  <c r="D69" i="5"/>
  <c r="D70" i="5"/>
  <c r="D71" i="5"/>
  <c r="D72" i="5"/>
  <c r="D73" i="5"/>
  <c r="D74" i="5"/>
  <c r="C61" i="5"/>
  <c r="C62" i="5"/>
  <c r="C63" i="5"/>
  <c r="C64" i="5"/>
  <c r="C65" i="5"/>
  <c r="C66" i="5"/>
  <c r="C67" i="5"/>
  <c r="C68" i="5"/>
  <c r="C69" i="5"/>
  <c r="C70" i="5"/>
  <c r="C71" i="5"/>
  <c r="C72" i="5"/>
  <c r="C73" i="5"/>
  <c r="C74" i="5"/>
  <c r="C60" i="5"/>
  <c r="D60" i="5"/>
  <c r="D59" i="5"/>
  <c r="C8" i="17"/>
  <c r="C7" i="17"/>
  <c r="C5" i="17"/>
  <c r="D7" i="17"/>
  <c r="D8" i="17"/>
  <c r="C19" i="13"/>
  <c r="D19" i="13"/>
  <c r="B59" i="5" l="1"/>
  <c r="C59" i="5" s="1"/>
  <c r="B58" i="5"/>
  <c r="C58" i="5" s="1"/>
  <c r="D58" i="5"/>
  <c r="B7" i="14" l="1"/>
  <c r="C7" i="14"/>
  <c r="B6" i="14"/>
  <c r="C6" i="14" s="1"/>
  <c r="D6" i="14"/>
  <c r="D7" i="14"/>
  <c r="B41" i="1" l="1"/>
  <c r="B42" i="1"/>
  <c r="B43" i="1"/>
  <c r="B63" i="15" l="1"/>
  <c r="B62" i="15"/>
  <c r="B43" i="15"/>
  <c r="B42" i="15"/>
  <c r="B61" i="15"/>
  <c r="B60" i="15"/>
  <c r="B59" i="15"/>
  <c r="B58" i="15"/>
  <c r="B57" i="15"/>
  <c r="B56" i="15"/>
  <c r="B55" i="15"/>
  <c r="B54" i="15"/>
  <c r="B53" i="15"/>
  <c r="B52" i="15"/>
  <c r="B51" i="15"/>
  <c r="B50" i="15"/>
  <c r="B68" i="15"/>
  <c r="B67" i="15"/>
  <c r="B66" i="15"/>
  <c r="B65" i="15"/>
  <c r="B64" i="15"/>
  <c r="B49" i="15"/>
  <c r="B48" i="15"/>
  <c r="B47" i="15"/>
  <c r="B46" i="15"/>
  <c r="B45" i="15"/>
  <c r="B44" i="15"/>
  <c r="B53" i="5" l="1"/>
  <c r="C53" i="5" s="1"/>
  <c r="B52" i="5"/>
  <c r="C52" i="5" s="1"/>
  <c r="B57" i="5"/>
  <c r="C57" i="5" s="1"/>
  <c r="B56" i="5"/>
  <c r="C56" i="5" s="1"/>
  <c r="B55" i="5"/>
  <c r="C55" i="5" s="1"/>
  <c r="B54" i="5"/>
  <c r="C54" i="5" s="1"/>
  <c r="B40" i="1"/>
  <c r="C40" i="1" s="1"/>
  <c r="B39" i="1"/>
  <c r="C39" i="1" s="1"/>
  <c r="B38" i="1"/>
  <c r="C38" i="1"/>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D41" i="1"/>
  <c r="D42" i="1"/>
  <c r="D43" i="1"/>
  <c r="C41" i="1"/>
  <c r="C42" i="1"/>
  <c r="C43" i="1"/>
  <c r="D40" i="1"/>
  <c r="D39" i="1"/>
  <c r="D38" i="1"/>
  <c r="D56" i="5"/>
  <c r="D57" i="5"/>
  <c r="D52" i="5"/>
  <c r="D53" i="5"/>
  <c r="D54" i="5"/>
  <c r="D55" i="5"/>
  <c r="B51" i="5" l="1"/>
  <c r="B50" i="5"/>
  <c r="B49" i="5" l="1"/>
  <c r="B48" i="5"/>
  <c r="B47" i="5"/>
  <c r="B46" i="5"/>
  <c r="B45" i="5"/>
  <c r="D50" i="5" l="1"/>
  <c r="D51" i="5"/>
  <c r="C50" i="5"/>
  <c r="C51" i="5"/>
  <c r="D45" i="5"/>
  <c r="D46" i="5"/>
  <c r="D47" i="5"/>
  <c r="D48" i="5"/>
  <c r="D49" i="5"/>
  <c r="C45" i="5"/>
  <c r="C46" i="5"/>
  <c r="C47" i="5"/>
  <c r="C48" i="5"/>
  <c r="C49" i="5"/>
  <c r="B44" i="5" l="1"/>
  <c r="C44" i="5" s="1"/>
  <c r="B43" i="5"/>
  <c r="C43" i="5" s="1"/>
  <c r="D43" i="5"/>
  <c r="D44" i="5"/>
  <c r="D6" i="17" l="1"/>
  <c r="B5" i="5" l="1"/>
  <c r="B40" i="5" l="1"/>
  <c r="C40" i="5" s="1"/>
  <c r="B42" i="5"/>
  <c r="B41" i="5"/>
  <c r="C41" i="5" s="1"/>
  <c r="B12" i="12"/>
  <c r="C12" i="12"/>
  <c r="B10" i="12"/>
  <c r="C10" i="12" s="1"/>
  <c r="B9" i="12"/>
  <c r="C9" i="12" s="1"/>
  <c r="B8" i="12"/>
  <c r="C8" i="12" s="1"/>
  <c r="B28" i="3"/>
  <c r="C28" i="3" s="1"/>
  <c r="B26" i="3"/>
  <c r="C26" i="3"/>
  <c r="B24" i="3"/>
  <c r="C24" i="3"/>
  <c r="B25" i="3"/>
  <c r="C25" i="3"/>
  <c r="B33" i="1"/>
  <c r="C33" i="1" s="1"/>
  <c r="B35" i="1"/>
  <c r="C35" i="1" s="1"/>
  <c r="B34" i="1"/>
  <c r="C34" i="1"/>
  <c r="B37" i="1"/>
  <c r="C37" i="1"/>
  <c r="B39" i="5"/>
  <c r="C39" i="5" s="1"/>
  <c r="B11" i="12"/>
  <c r="C11" i="12"/>
  <c r="B27" i="3"/>
  <c r="C27" i="3" s="1"/>
  <c r="B36" i="1"/>
  <c r="D8" i="12"/>
  <c r="D9" i="12"/>
  <c r="D10" i="12"/>
  <c r="D11" i="12"/>
  <c r="D12" i="12"/>
  <c r="D24" i="3"/>
  <c r="D25" i="3"/>
  <c r="D26" i="3"/>
  <c r="D27" i="3"/>
  <c r="D28" i="3"/>
  <c r="C36" i="1"/>
  <c r="D33" i="1"/>
  <c r="D34" i="1"/>
  <c r="D35" i="1"/>
  <c r="D36" i="1"/>
  <c r="D37" i="1"/>
  <c r="D39" i="5"/>
  <c r="D40" i="5"/>
  <c r="D41" i="5"/>
  <c r="D42" i="5"/>
  <c r="C37" i="5" l="1"/>
  <c r="C38" i="5"/>
  <c r="B41" i="15"/>
  <c r="B4" i="17"/>
  <c r="B5" i="17"/>
  <c r="B26" i="5"/>
  <c r="B3" i="17"/>
  <c r="B34" i="5"/>
  <c r="C34" i="5" s="1"/>
  <c r="B36" i="5"/>
  <c r="C36" i="5" s="1"/>
  <c r="B35" i="5"/>
  <c r="C35" i="5" s="1"/>
  <c r="B32" i="5"/>
  <c r="C32" i="5"/>
  <c r="B33" i="5"/>
  <c r="B29" i="5"/>
  <c r="C29" i="5" s="1"/>
  <c r="B31" i="5"/>
  <c r="C31" i="5" s="1"/>
  <c r="B30" i="5"/>
  <c r="C30" i="5" s="1"/>
  <c r="B27" i="5"/>
  <c r="C27" i="5" s="1"/>
  <c r="B28" i="5"/>
  <c r="C28" i="5" s="1"/>
  <c r="D38" i="5"/>
  <c r="D37" i="5"/>
  <c r="C33" i="5"/>
  <c r="D32" i="5"/>
  <c r="D33" i="5"/>
  <c r="D34" i="5"/>
  <c r="D35" i="5"/>
  <c r="D36" i="5"/>
  <c r="D27" i="5"/>
  <c r="D28" i="5"/>
  <c r="D29" i="5"/>
  <c r="D30" i="5"/>
  <c r="D31" i="5"/>
  <c r="D26" i="5" l="1"/>
  <c r="C26" i="5"/>
  <c r="C41" i="15"/>
  <c r="C4" i="17"/>
  <c r="C3" i="17"/>
  <c r="D5" i="17"/>
  <c r="D4" i="17"/>
  <c r="D3" i="17"/>
  <c r="D41" i="15"/>
  <c r="B20" i="15" l="1"/>
  <c r="C20" i="15" s="1"/>
  <c r="B21" i="15"/>
  <c r="C21" i="15" s="1"/>
  <c r="B19" i="15"/>
  <c r="C19" i="15" s="1"/>
  <c r="B23" i="15"/>
  <c r="C23" i="15"/>
  <c r="B25" i="15"/>
  <c r="C25" i="15" s="1"/>
  <c r="B26" i="15"/>
  <c r="C26" i="15" s="1"/>
  <c r="B18" i="15"/>
  <c r="C18" i="15" s="1"/>
  <c r="B17" i="15"/>
  <c r="C17" i="15"/>
  <c r="B16" i="15"/>
  <c r="C16" i="15" s="1"/>
  <c r="B15" i="15"/>
  <c r="C15" i="15" s="1"/>
  <c r="B14" i="15"/>
  <c r="C14" i="15" s="1"/>
  <c r="B40" i="15"/>
  <c r="C40" i="15"/>
  <c r="B39" i="15"/>
  <c r="C39" i="15"/>
  <c r="B38" i="15"/>
  <c r="C38" i="15"/>
  <c r="B37" i="15"/>
  <c r="C37" i="15" s="1"/>
  <c r="B36" i="15"/>
  <c r="C36" i="15" s="1"/>
  <c r="B34" i="15"/>
  <c r="C34" i="15" s="1"/>
  <c r="B33" i="15"/>
  <c r="C33" i="15" s="1"/>
  <c r="B32" i="15"/>
  <c r="C32" i="15" s="1"/>
  <c r="B31" i="15"/>
  <c r="C31" i="15" s="1"/>
  <c r="B35" i="15"/>
  <c r="C35" i="15" s="1"/>
  <c r="B30" i="15"/>
  <c r="C30" i="15" s="1"/>
  <c r="B29" i="15"/>
  <c r="C29" i="15" s="1"/>
  <c r="B27" i="15"/>
  <c r="C27" i="15" s="1"/>
  <c r="B28" i="15"/>
  <c r="C28" i="15" s="1"/>
  <c r="B25" i="5"/>
  <c r="C25" i="5" s="1"/>
  <c r="B24" i="5"/>
  <c r="C24" i="5" s="1"/>
  <c r="B23" i="5"/>
  <c r="C23" i="5" s="1"/>
  <c r="B24" i="15"/>
  <c r="C24" i="15"/>
  <c r="B22" i="15"/>
  <c r="C22" i="15" s="1"/>
  <c r="B22" i="5"/>
  <c r="C22" i="5" s="1"/>
  <c r="B3" i="16"/>
  <c r="C3" i="16" s="1"/>
  <c r="B4" i="16"/>
  <c r="C4" i="16" s="1"/>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5" i="16"/>
  <c r="C5" i="16"/>
  <c r="D22" i="5"/>
  <c r="D23" i="5"/>
  <c r="D24" i="5"/>
  <c r="D25" i="5"/>
  <c r="D3" i="16"/>
  <c r="D4" i="16"/>
  <c r="B28" i="1"/>
  <c r="B8" i="13"/>
  <c r="B5" i="15"/>
  <c r="C5" i="15" s="1"/>
  <c r="C4" i="15"/>
  <c r="B6" i="15"/>
  <c r="C6" i="15" s="1"/>
  <c r="B7" i="15"/>
  <c r="C7" i="15" s="1"/>
  <c r="B8" i="15"/>
  <c r="C8" i="15" s="1"/>
  <c r="B11" i="15"/>
  <c r="C11" i="15" s="1"/>
  <c r="B13" i="15"/>
  <c r="C13" i="15" s="1"/>
  <c r="B9" i="15"/>
  <c r="C9" i="15" s="1"/>
  <c r="B12" i="15"/>
  <c r="C12" i="15" s="1"/>
  <c r="B10" i="15"/>
  <c r="C10" i="15" s="1"/>
  <c r="D4" i="15"/>
  <c r="D5" i="15"/>
  <c r="D6" i="15"/>
  <c r="D7" i="15"/>
  <c r="D8" i="15"/>
  <c r="D9" i="15"/>
  <c r="D10" i="15"/>
  <c r="D11" i="15"/>
  <c r="D12" i="15"/>
  <c r="D13" i="15"/>
  <c r="B21" i="5" l="1"/>
  <c r="B3" i="15" l="1"/>
  <c r="C3" i="15" s="1"/>
  <c r="B18" i="13"/>
  <c r="C18" i="13" s="1"/>
  <c r="D18" i="13"/>
  <c r="D3" i="15"/>
  <c r="C3" i="5"/>
  <c r="B13" i="13"/>
  <c r="B12" i="13"/>
  <c r="B11" i="13"/>
  <c r="B10" i="13"/>
  <c r="B17" i="13"/>
  <c r="B16" i="13"/>
  <c r="B15" i="13"/>
  <c r="B14" i="13"/>
  <c r="C10" i="13" l="1"/>
  <c r="C11" i="13"/>
  <c r="C12" i="13"/>
  <c r="C13" i="13"/>
  <c r="C14" i="13"/>
  <c r="C15" i="13"/>
  <c r="C16" i="13"/>
  <c r="C17" i="13"/>
  <c r="D10" i="13"/>
  <c r="D11" i="13"/>
  <c r="D12" i="13"/>
  <c r="D13" i="13"/>
  <c r="D14" i="13"/>
  <c r="D15" i="13"/>
  <c r="D16" i="13"/>
  <c r="D17" i="13"/>
  <c r="D21" i="5"/>
  <c r="C21" i="5"/>
  <c r="D9" i="13"/>
  <c r="D8" i="13"/>
  <c r="C8" i="13"/>
  <c r="D7" i="12"/>
  <c r="B7" i="12"/>
  <c r="C7" i="12" s="1"/>
  <c r="D12" i="11"/>
  <c r="B12" i="11"/>
  <c r="C12" i="11" s="1"/>
  <c r="D7" i="13"/>
  <c r="B7" i="13"/>
  <c r="C7" i="13" s="1"/>
  <c r="D7" i="10"/>
  <c r="C7" i="10"/>
  <c r="D6" i="12"/>
  <c r="B6" i="12"/>
  <c r="C6" i="12" s="1"/>
  <c r="D11" i="11"/>
  <c r="B11" i="11"/>
  <c r="C11" i="11" s="1"/>
  <c r="D6" i="13"/>
  <c r="B6" i="13"/>
  <c r="C6" i="13" s="1"/>
  <c r="D14" i="4"/>
  <c r="C14" i="4"/>
  <c r="D5" i="13"/>
  <c r="B5" i="13"/>
  <c r="C5" i="13" s="1"/>
  <c r="D4" i="13"/>
  <c r="B4" i="13"/>
  <c r="C4" i="13" s="1"/>
  <c r="D13" i="4"/>
  <c r="B13" i="4"/>
  <c r="C13" i="4" s="1"/>
  <c r="D5" i="12"/>
  <c r="B5" i="12"/>
  <c r="C5" i="12" s="1"/>
  <c r="D4" i="12"/>
  <c r="B4" i="12"/>
  <c r="C4" i="12" s="1"/>
  <c r="D12" i="4"/>
  <c r="C12" i="4"/>
  <c r="D11" i="4"/>
  <c r="C11" i="4"/>
  <c r="D10" i="4"/>
  <c r="C10" i="4"/>
  <c r="D6" i="10"/>
  <c r="B6" i="10"/>
  <c r="C6" i="10" s="1"/>
  <c r="D5" i="10"/>
  <c r="B5" i="10"/>
  <c r="C5" i="10" s="1"/>
  <c r="D10" i="11"/>
  <c r="B10" i="11"/>
  <c r="C10" i="11" s="1"/>
  <c r="D9" i="11"/>
  <c r="B9" i="11"/>
  <c r="C9" i="11" s="1"/>
  <c r="D3" i="12"/>
  <c r="B3" i="12"/>
  <c r="C3" i="12" s="1"/>
  <c r="D8" i="11"/>
  <c r="B8" i="11"/>
  <c r="C8" i="11" s="1"/>
  <c r="D3" i="13"/>
  <c r="B3" i="13"/>
  <c r="C3" i="13" s="1"/>
  <c r="D9" i="4"/>
  <c r="B9" i="4"/>
  <c r="C9" i="4" s="1"/>
  <c r="D7" i="11"/>
  <c r="B7" i="11"/>
  <c r="C7" i="11" s="1"/>
  <c r="D6" i="11"/>
  <c r="B6" i="11"/>
  <c r="C6" i="11" s="1"/>
  <c r="D5" i="11"/>
  <c r="B5" i="11"/>
  <c r="C5" i="11" s="1"/>
  <c r="D4" i="10"/>
  <c r="B4" i="10"/>
  <c r="C4" i="10" s="1"/>
  <c r="D4" i="11"/>
  <c r="B4" i="11"/>
  <c r="C4" i="11" s="1"/>
  <c r="D3" i="11"/>
  <c r="B3" i="11"/>
  <c r="C3" i="11" s="1"/>
  <c r="D3" i="10"/>
  <c r="B3" i="10"/>
  <c r="C3" i="10" s="1"/>
  <c r="D5" i="14"/>
  <c r="B5" i="14"/>
  <c r="C5" i="14" s="1"/>
  <c r="D4" i="14"/>
  <c r="B4" i="14"/>
  <c r="C4" i="14" s="1"/>
  <c r="D20" i="5"/>
  <c r="B20" i="5"/>
  <c r="C20" i="5" s="1"/>
  <c r="D19" i="5"/>
  <c r="B19" i="5"/>
  <c r="C19" i="5" s="1"/>
  <c r="D18" i="5"/>
  <c r="B18" i="5"/>
  <c r="C18" i="5" s="1"/>
  <c r="D17" i="5"/>
  <c r="B17" i="5"/>
  <c r="C17" i="5" s="1"/>
  <c r="D16" i="5"/>
  <c r="C16" i="5"/>
  <c r="D15" i="5"/>
  <c r="C15" i="5"/>
  <c r="D14" i="5"/>
  <c r="C14" i="5"/>
  <c r="D13" i="5"/>
  <c r="B13" i="5"/>
  <c r="C13" i="5" s="1"/>
  <c r="D12" i="5"/>
  <c r="B12" i="5"/>
  <c r="C12" i="5" s="1"/>
  <c r="D11" i="5"/>
  <c r="B11" i="5"/>
  <c r="C11" i="5" s="1"/>
  <c r="D10" i="5"/>
  <c r="B10" i="5"/>
  <c r="C10" i="5" s="1"/>
  <c r="D9" i="5"/>
  <c r="B9" i="5"/>
  <c r="C9" i="5" s="1"/>
  <c r="D8" i="5"/>
  <c r="B8" i="5"/>
  <c r="C8" i="5" s="1"/>
  <c r="D7" i="5"/>
  <c r="B7" i="5"/>
  <c r="C7" i="5" s="1"/>
  <c r="D8" i="4"/>
  <c r="C8" i="4"/>
  <c r="D7" i="4"/>
  <c r="C7" i="4"/>
  <c r="D6" i="4"/>
  <c r="C6" i="4"/>
  <c r="D5" i="4"/>
  <c r="C5" i="4"/>
  <c r="D4" i="4"/>
  <c r="C4" i="4"/>
  <c r="D3" i="4"/>
  <c r="C3" i="4"/>
  <c r="D3" i="14"/>
  <c r="C3" i="14"/>
  <c r="D6" i="5"/>
  <c r="C6" i="5"/>
  <c r="D5" i="5"/>
  <c r="C5" i="5"/>
  <c r="D3" i="5"/>
  <c r="C4" i="5"/>
  <c r="D4" i="5"/>
  <c r="D22" i="1"/>
  <c r="C21" i="1"/>
  <c r="D21" i="1"/>
  <c r="D20" i="1"/>
  <c r="B20" i="1"/>
  <c r="C20" i="1" s="1"/>
  <c r="D32" i="1"/>
  <c r="C32" i="1"/>
  <c r="D31" i="1"/>
  <c r="B31" i="1"/>
  <c r="C31" i="1" s="1"/>
  <c r="D30" i="1"/>
  <c r="B30" i="1"/>
  <c r="C30" i="1" s="1"/>
  <c r="D29" i="1"/>
  <c r="B29" i="1"/>
  <c r="C29" i="1" s="1"/>
  <c r="D28" i="1"/>
  <c r="C28" i="1"/>
  <c r="D27" i="1"/>
  <c r="B27" i="1"/>
  <c r="C27" i="1" s="1"/>
  <c r="D26" i="1"/>
  <c r="B26" i="1"/>
  <c r="C26" i="1" s="1"/>
  <c r="D25" i="1"/>
  <c r="B25" i="1"/>
  <c r="C25" i="1" s="1"/>
  <c r="D24" i="1"/>
  <c r="B24" i="1"/>
  <c r="C24" i="1" s="1"/>
  <c r="D23" i="1"/>
  <c r="B23" i="1"/>
  <c r="C23" i="1" s="1"/>
  <c r="B22" i="1"/>
  <c r="C22" i="1" s="1"/>
  <c r="D19" i="1"/>
  <c r="B19" i="1"/>
  <c r="C19" i="1" s="1"/>
  <c r="D18" i="1"/>
  <c r="B18" i="1"/>
  <c r="C18" i="1" s="1"/>
  <c r="D17" i="1"/>
  <c r="B17" i="1"/>
  <c r="C17" i="1" s="1"/>
  <c r="D16" i="1"/>
  <c r="B16" i="1"/>
  <c r="C16" i="1" s="1"/>
  <c r="D15" i="1"/>
  <c r="B15" i="1"/>
  <c r="C15" i="1" s="1"/>
  <c r="D14" i="1"/>
  <c r="B14" i="1"/>
  <c r="C14" i="1" s="1"/>
  <c r="D13" i="1"/>
  <c r="B13" i="1"/>
  <c r="C13" i="1" s="1"/>
  <c r="D12" i="1"/>
  <c r="B12" i="1"/>
  <c r="C12" i="1" s="1"/>
  <c r="D11" i="1"/>
  <c r="C11" i="1"/>
  <c r="D10" i="1"/>
  <c r="C10" i="1"/>
  <c r="D9" i="1"/>
  <c r="C9" i="1"/>
  <c r="D8" i="1"/>
  <c r="C8" i="1"/>
  <c r="D7" i="1"/>
  <c r="C7" i="1"/>
  <c r="D6" i="1"/>
  <c r="C6" i="1"/>
  <c r="D5" i="1"/>
  <c r="C5" i="1"/>
  <c r="D4" i="1"/>
  <c r="C4" i="1"/>
  <c r="D23" i="3"/>
  <c r="B23" i="3"/>
  <c r="C23" i="3" s="1"/>
  <c r="D22" i="3"/>
  <c r="B22" i="3"/>
  <c r="C22" i="3" s="1"/>
  <c r="D21" i="3"/>
  <c r="B21" i="3"/>
  <c r="C21" i="3" s="1"/>
  <c r="D20" i="3"/>
  <c r="B20" i="3"/>
  <c r="C20" i="3" s="1"/>
  <c r="D19" i="3"/>
  <c r="B19" i="3"/>
  <c r="C19" i="3" s="1"/>
  <c r="D18" i="3"/>
  <c r="B18" i="3"/>
  <c r="C18" i="3" s="1"/>
  <c r="D17" i="3"/>
  <c r="B17" i="3"/>
  <c r="C17" i="3" s="1"/>
  <c r="D16" i="3"/>
  <c r="B16" i="3"/>
  <c r="C16" i="3" s="1"/>
  <c r="D15" i="3"/>
  <c r="C15" i="3"/>
  <c r="D14" i="3"/>
  <c r="B14" i="3"/>
  <c r="C14" i="3" s="1"/>
  <c r="D13" i="3"/>
  <c r="B13" i="3"/>
  <c r="C13" i="3" s="1"/>
  <c r="D12" i="3"/>
  <c r="B12" i="3"/>
  <c r="C12" i="3" s="1"/>
  <c r="D11" i="3"/>
  <c r="B11" i="3"/>
  <c r="C11" i="3" s="1"/>
  <c r="D10" i="3"/>
  <c r="B10" i="3"/>
  <c r="C10" i="3" s="1"/>
  <c r="D9" i="3"/>
  <c r="B9" i="3"/>
  <c r="C9" i="3" s="1"/>
  <c r="D8" i="3"/>
  <c r="B8" i="3"/>
  <c r="C8" i="3" s="1"/>
  <c r="D7" i="3"/>
  <c r="C7" i="3"/>
  <c r="D6" i="3"/>
  <c r="C6" i="3"/>
  <c r="D5" i="3"/>
  <c r="B5" i="3"/>
  <c r="C5" i="3" s="1"/>
  <c r="D4" i="3"/>
  <c r="C4" i="3"/>
  <c r="D3" i="3"/>
  <c r="C3" i="3"/>
  <c r="D13" i="2"/>
  <c r="B13" i="2"/>
  <c r="C13" i="2" s="1"/>
  <c r="D12" i="2"/>
  <c r="B12" i="2"/>
  <c r="C12" i="2" s="1"/>
  <c r="D11" i="2"/>
  <c r="B11" i="2"/>
  <c r="C11" i="2" s="1"/>
  <c r="D10" i="2"/>
  <c r="B10" i="2"/>
  <c r="C10" i="2" s="1"/>
  <c r="D9" i="2"/>
  <c r="B9" i="2"/>
  <c r="C9" i="2" s="1"/>
  <c r="D8" i="2"/>
  <c r="B8" i="2"/>
  <c r="C8" i="2" s="1"/>
  <c r="D7" i="2"/>
  <c r="B7" i="2"/>
  <c r="C7" i="2" s="1"/>
  <c r="D6" i="2"/>
  <c r="B6" i="2"/>
  <c r="C6" i="2" s="1"/>
  <c r="D5" i="2"/>
  <c r="C5" i="2"/>
  <c r="D4" i="2"/>
  <c r="C4" i="2"/>
  <c r="D3" i="2"/>
  <c r="C3" i="2"/>
  <c r="D3" i="1"/>
  <c r="B3" i="1"/>
  <c r="C3" i="1" s="1"/>
  <c r="C42" i="5"/>
</calcChain>
</file>

<file path=xl/sharedStrings.xml><?xml version="1.0" encoding="utf-8"?>
<sst xmlns="http://schemas.openxmlformats.org/spreadsheetml/2006/main" count="1498" uniqueCount="694">
  <si>
    <t>Sequence</t>
  </si>
  <si>
    <t>Sequence Name</t>
  </si>
  <si>
    <t>Purification</t>
  </si>
  <si>
    <t>Extinction Coefficient</t>
  </si>
  <si>
    <t>GTC ACT GTC TGG TTA ATC TGT ATG TC/3TYE665/</t>
  </si>
  <si>
    <t>/5IAbRQ/GAC ATA CAG ATT AAC CAG ACA</t>
  </si>
  <si>
    <t>HPLC</t>
  </si>
  <si>
    <t>S1 Reporter F</t>
  </si>
  <si>
    <t>S1 Reporter Q</t>
  </si>
  <si>
    <t>G1S1-nt</t>
  </si>
  <si>
    <t>/5Cy3/TCC TTC CAT GCA CGC CAA ACC GTG GCG ACG TAA TAC GAC TCA CTA TAG ACA TAC AGA TTA ACC AGA CAG TGA C</t>
  </si>
  <si>
    <t>S1-t</t>
  </si>
  <si>
    <t>C1-t</t>
  </si>
  <si>
    <t>Act 2</t>
  </si>
  <si>
    <t>Act 3</t>
  </si>
  <si>
    <t>G2C3-nt</t>
  </si>
  <si>
    <t>C3-t</t>
  </si>
  <si>
    <t>R1-t</t>
  </si>
  <si>
    <t>Blk 1</t>
  </si>
  <si>
    <t>Blk 3</t>
  </si>
  <si>
    <t>DNA C1</t>
  </si>
  <si>
    <t>Act 1</t>
  </si>
  <si>
    <t>GTC ACT GTC TGG TTA ATC TGT ATG TCT ATA GTG AGT CG</t>
  </si>
  <si>
    <t>/5ATTO488N/AGC CAA GAT TCA GGT CAA TAA GTG ACC AAG TAA TAC GAC TCA CTA TAG GGA GAT TCG TCT CCC AAA TCC TTC CAT GAA CGC CAA ACC GTG GCG ACG ACC T</t>
  </si>
  <si>
    <t>GAG TAG GTC GTC GCC ACG GTT TGG CGT TCA TGG AAG GAT TTG GGA GAC GAA TCT CCC TAT AGT GAG TCG</t>
  </si>
  <si>
    <t>/5TEX615/GAA GAT GAA GGT GTA CCG TAT AGG TAC TAG TAA TAC GAC TCA CTA TAG GGA GAT TCG TCT CCC AAA TCC TTC CAT GAA CGC CAA ACC GTG GCG ACG ACC T</t>
  </si>
  <si>
    <t>CAT CCC ACT ATT ACT TGG TCA CTT ATT GAC CTG AA/3IAbRQSp/</t>
  </si>
  <si>
    <t>CCG ACA AAT ATT ACT AGT ACC TAT ACG GTA CAC CT/3IAbRQSp/</t>
  </si>
  <si>
    <t>AGC CAA GAT TCA GGT CAA TAA GTG ACC AAG TAA TAC GAC TCA CTA TAG GGA GAT TCG TCT CCC AGA AGA TGA AGA TGT ACC GTA TAG GTA CTA GGA AC</t>
  </si>
  <si>
    <t>GCT CGT TCC TAG TAC CTA TAC GGT ACA TCT TCA TCT TCT GGG AGA CGA ATC TCC CTA TAG TGA GTC G</t>
  </si>
  <si>
    <t>/5TEX615/GAA GAT GAA GGT GTA CCG TAT AGG TAC TAG TAA TAC GAC TCA CTA TAG GGA GAT TCG TCT CCC ATG CAC GCC AAA CCG TGG CGA CGT AAT AGA GCT</t>
  </si>
  <si>
    <t>TCC AGC TCT ATT ACG TCG CCA CGG TTT GGC GTG CAT GGG AGA CGA ATC TCC CTA TAG TGA GTC G</t>
  </si>
  <si>
    <t>GAG TAG GTC GTC GCC ACG GTT TGG CGT GCA TGG AAG GA</t>
  </si>
  <si>
    <t>GCT CGT TCC TAG TAC CTA TAC GGT ACA CCT TCA TCT TC</t>
  </si>
  <si>
    <t>TCC TTC CAT GAA CGC CAA ACC GTG GCG ACG ACC TAC TC</t>
  </si>
  <si>
    <t>TCC AGC TCT ATT ACG TCG CCA CGG TTT GGC GTG CA/3IAbRQSp/</t>
  </si>
  <si>
    <t>PAGE</t>
  </si>
  <si>
    <t>Need Reordered?</t>
  </si>
  <si>
    <t>No</t>
  </si>
  <si>
    <t>ATC CAT CAC TTC ATA CTC TAC /36-FAM/</t>
  </si>
  <si>
    <t>/5TYE665/TCC TTC CAT GCA CGC CAA ACC GTG GCG ACG TAA TAC GAC TCA CTA TAG GGA GAT TCG TCT CCC AGT AGA GTA TGA AGT GAT GGA T</t>
  </si>
  <si>
    <t>ATC CAT CAC TTC ATA CTC TAC TGG GAG ACG AAT CTC CCT ATA GTG AGT CG</t>
  </si>
  <si>
    <t>TCC TTC CAT GCA CGC CAA ACC GTG GCG ACG TAA TAC GAC TCA CTA TAG GGA GAT TCG TCT CCC AGT AGA GTA TGA AGT GAT GGA T</t>
  </si>
  <si>
    <t>ATC CAT CAC TTC ATA CTC TAC /3TYE665/</t>
  </si>
  <si>
    <t>/5IAbRQ/GTA GAG TAT GAA GTG A</t>
  </si>
  <si>
    <t>TCC TTC CAT GCA CGC CAA ACC GTG GCG ACG TAA TAC GAC TCA CTA TAG GGA GAT TCG TCT CCC ATT CAG GTC AAT AAG TGA CCA AGT AAT AGT GGG</t>
  </si>
  <si>
    <t>TGC ACG CCA AAC CGT GGC GAC GTA ATA CGA CTC ACT ATA GGG AGA TTC GTC TCC CAT TCA GGT CAA TAA GTG ACC AAG TAA TAG TGG GAT G</t>
  </si>
  <si>
    <t>/5ATTO488N/TGC ACG CCA AAC CGT GGC GAC GTA ATA CGA CTC ACT ATA GGG AGA TTC GTC TCC CAT TCA GGT CAA TAA GTG ACC AAG TAA TAG TGG GAT G</t>
  </si>
  <si>
    <t>CAT CCC ACT ATT ACT TGG TCA CTT ATT GAC CTG AAT GGG AGA CGA ATC TCC CTA TAG TGA GTC G</t>
  </si>
  <si>
    <t>AGC CAA GAT TCA GGT CAA TAA GTG ACC AAG TAA TAC GAC TCA CTA TAG GGA GAT TCG TCT CCC AAG GTG TAC CGT ATA GGT ACT AGT AAT ATT TGT</t>
  </si>
  <si>
    <t>/5ATTO488N/TTC AGG TCA ATA AGT GAC CAA GTA ATA CGA CTC ACT ATA GGG AGA TTC GTC TCC CAA GGT GTA CCG TAT AGG TAC TAG TAA TAT TTG TCG G</t>
  </si>
  <si>
    <t>TTC AGG TCA ATA AGT GAC CAA GTA ATA CGA CTC ACT ATA GGG AGA TTC GTC TCC CAA GGT GTA CCG TAT AGG TAC TAG TAA TAT TTG TCG G</t>
  </si>
  <si>
    <t>CCG ACA AAT ATT ACT AGT ACC TAT ACG GTA CAC CTT GGG AGA CGA ATC TCC CTA TAG TGA GTC G</t>
  </si>
  <si>
    <t>AGG TGT ACC GTA TAG GTA CTA GTA ATA CGA CTC ACT ATA GGG AGA TTC GTC TCC CAT GCA CGC CAA ACC GTG GCG ACG TAA TAG AGC TGG A</t>
  </si>
  <si>
    <t>/5TYE665/AGG TGT ACC GTA TAG GTA CTA GTA ATA CGA CTC ACT ATA GGG AGA TTC GTC TCC CAT GCA CGC CAA ACC GTG GCG ACG TAA TAG AGC TGG A</t>
  </si>
  <si>
    <t>G1R2-nt</t>
  </si>
  <si>
    <t>*G1R2-nt</t>
  </si>
  <si>
    <t>R2-t</t>
  </si>
  <si>
    <t>G2R3-nt</t>
  </si>
  <si>
    <t>*G2R3-nt</t>
  </si>
  <si>
    <t>R3-t</t>
  </si>
  <si>
    <t>*G3R1-nt</t>
  </si>
  <si>
    <t>Y1 Reporter F (Blue)</t>
  </si>
  <si>
    <t>Y1 Reporter F (Red)</t>
  </si>
  <si>
    <t>Y1 Reporter Q (Red)</t>
  </si>
  <si>
    <t>Y1-t</t>
  </si>
  <si>
    <t>G1Y1-nt</t>
  </si>
  <si>
    <t>G1Y1-nt F</t>
  </si>
  <si>
    <t>G1S1-nt F</t>
  </si>
  <si>
    <t>G2C1-nt F</t>
  </si>
  <si>
    <t>G3C1-nt F</t>
  </si>
  <si>
    <t>G3R1-nt F</t>
  </si>
  <si>
    <t>*G1R2-nt F</t>
  </si>
  <si>
    <t>*G2R3-nt F</t>
  </si>
  <si>
    <t>*G3R1-nt F</t>
  </si>
  <si>
    <t>G1Dummy-nt</t>
  </si>
  <si>
    <t>Dummy-t</t>
  </si>
  <si>
    <t>*G1R4-nt</t>
  </si>
  <si>
    <t>*G4R1-nt</t>
  </si>
  <si>
    <t>R4-t</t>
  </si>
  <si>
    <t>TCC TTC CAT GCA CGC CAA ACC GTG GCG ACG TAA TAC GAC TCA CTA TAG GGA GA</t>
  </si>
  <si>
    <t>TCT CCC TAT AGT GAG TCG</t>
  </si>
  <si>
    <t>/5HEX/TCC TTC CAT GCA CGC CAA ACC GTG GCG ACG TAA TAC GAC TCA CTA TAG GGA GA</t>
  </si>
  <si>
    <t>TGC ACG CCA AAC CGT GGC GAC GTA ATA CGA CTC ACT ATA GGG AGA TTC GTC TCC CAT CTT CCA GGT ACA CCC TGG CTC TAA TAT CCT CGC A</t>
  </si>
  <si>
    <t>TCT TCC AGG TAC ACC CTG GCT CTA ATA CGA CTC ACT ATA GGG AGA TTC GTC TCC CAT GCA CGC CAA ACC GTG GCG ACG TAA TAG AGC TGG A</t>
  </si>
  <si>
    <t>TGC GAG GAT ATT AGA GCC AGG GTG TAC CTG GAA GAT GGG AGA CGA ATC TCC CTA TAG TGA GTC G</t>
  </si>
  <si>
    <t>TGC GAG GAT ATT AGA GCC AGG GTG TAC CTG GAA GA/3IAbRQSp/</t>
  </si>
  <si>
    <t>/5ATTO488N/TCT TCC AGG TAC ACC CTG GCT CTA ATA CGA CTC ACT ATA GGG AGA TTC GTC TCC CAT GCA CGC CAA ACC GTG GCG ACG TAA TAG AGC TGG A</t>
  </si>
  <si>
    <t>/5HEX/TCT TCC AGG TAC ACC CTG GCT CTA ATA CGA CTC ACT ATA GGG AGA</t>
  </si>
  <si>
    <t>TCT TCC AGG TAC ACC CTG GCT CTA ATA CGA CTC ACT ATA GGG AGA</t>
  </si>
  <si>
    <t>A260</t>
  </si>
  <si>
    <t>Concentration (uM)</t>
  </si>
  <si>
    <t>*G4R1-nt F</t>
  </si>
  <si>
    <t>G1Dummy-nt F</t>
  </si>
  <si>
    <t>Act 4</t>
  </si>
  <si>
    <t>/5IABkFQ/GTA GAG TAT GAA GTG A</t>
  </si>
  <si>
    <t>Standard Desalting</t>
  </si>
  <si>
    <t>Y1 Reporter 5' F (Blue)</t>
  </si>
  <si>
    <t>Y1 Reporter 3' Q (Blue)</t>
  </si>
  <si>
    <t>/56-FAM/ATC CAT CAC TTC ATA CTC TAC</t>
  </si>
  <si>
    <t>GTA GAG TAT GAA GTG A/3IABkFQ/</t>
  </si>
  <si>
    <t>DNA Y1</t>
  </si>
  <si>
    <t>GTA GAG TAT GAA GTG ATG GAT</t>
  </si>
  <si>
    <t>Because of realizations made during testing, conventions may change in naming schemes. However, unless it would cause a direction contradiction, naming conventions typically become more explicit so as to not invalidate old ones.</t>
  </si>
  <si>
    <t>If a Fluorophore or Quencher's end position (5' or 3') is not explicitly mentioned, assume 5' F with 3' Q for genelets/activators, and 3' F with 5' Q for downstream reporter strands.</t>
  </si>
  <si>
    <t>If an Activator's name does not mention a Quencher or lack thereof, assume a Quencher is present (RQ on the 3' end, as mentioned above).</t>
  </si>
  <si>
    <t>If a Quencher's type is not explicitly mentioned, assume RQ (red quencher).</t>
  </si>
  <si>
    <t>NAMING CONVENTIONS</t>
  </si>
  <si>
    <t>DNA S1</t>
  </si>
  <si>
    <t>GAC ATA CAG ATT AAC CAG ACA GTG AC</t>
  </si>
  <si>
    <t>S1 Reporter 5' F</t>
  </si>
  <si>
    <t>S1 Reporter 3' Q</t>
  </si>
  <si>
    <t>TCC TTC CAT GCA CGC CAA ACC GTG GCG ACG TAA TAC GAC TCA CTA TAG ACA TAC AGA TTA ACC AGA CAG TGA C</t>
  </si>
  <si>
    <t>/5TYE665/GTC ACT GTC TGG TTA ATC TGT ATG TC</t>
  </si>
  <si>
    <t>GAC ATA CAG ATT AAC CAG ACA /3IAbRQSp/</t>
  </si>
  <si>
    <t>G3R1-nt</t>
  </si>
  <si>
    <t>G2C1-nt</t>
  </si>
  <si>
    <t>GAA GAT GAA GGT GTA CCG TAT AGG TAC TAG TAA TAC GAC TCA CTA TAG GGA GAT TCG TCT CCC ATG CAC GCC AAA CCG TGG CGA CGT AAT AGA GCT GGA</t>
  </si>
  <si>
    <t>AGC CAA GAT TCA GGT CAA TAA GTG ACC AAG TAA TAC GAC TCA CTA TAG GGA GAT TCG TCT CCC AAA TCC TTC CAT GAA CGC CAA ACC GTG GCG ACG ACC T</t>
  </si>
  <si>
    <t>/5Cy3/GTA GAG TAT GAA GTG</t>
  </si>
  <si>
    <t>Y1 Reporter 5' F</t>
  </si>
  <si>
    <t>Y1 Reporter 3' Q</t>
  </si>
  <si>
    <t>ATC CAT CAC TTC ATA CTC TAC/3IABkFQ/</t>
  </si>
  <si>
    <t>/5Cy3/mGmUmA mGmAmG mUmAmU mGmAmA mGmUmG</t>
  </si>
  <si>
    <t>mAmUmC mCmAmU mCmAmC mUmUmC mAmUmA mCmUmC mUmAmC /3IAbRQSp/</t>
  </si>
  <si>
    <t>mY1 Reporter 5' F</t>
  </si>
  <si>
    <t>mY1 Reporter 3' Q</t>
  </si>
  <si>
    <t>DNA R1</t>
  </si>
  <si>
    <t>DNA R2</t>
  </si>
  <si>
    <t>DNA R3</t>
  </si>
  <si>
    <t>TGC ACG CCA AAC CGT GGC GAC GTA ATA GAG CTG GA</t>
  </si>
  <si>
    <t>TTC AGG TCA ATA AGT GAC CAA GTA ATA GTG GGA TG</t>
  </si>
  <si>
    <t>AGG TGT ACC GTA TAG GTA CTA GTA ATA TTT GTC GG</t>
  </si>
  <si>
    <t>*G4D-nt F</t>
  </si>
  <si>
    <t>*G4D-nt</t>
  </si>
  <si>
    <t>TTC TAA TAC GAC TCA CTA TAG GGA GA</t>
  </si>
  <si>
    <t>TCT CCC TAT AGT GAG TCG TAT TAG AA</t>
  </si>
  <si>
    <t>TCC TTC CAT GCA CGC CAA ACC GTG GCG ACG TAA TAC GAC TCA CTA TAG GGA GAT TCG TCT CCC AGA AGA TGA AGA TGT ACC GTA TAG GTA CTA GGA ACG A</t>
  </si>
  <si>
    <t>GAA GAT GAA GGT GTA CCG TAT AGG TAC TAG TAA TAC GAC TCA CTA TAG GGA GAT TCG TCT CCC AAC CAA CTA CCT CTG ACT GTA ACC CAG TCT CTC GCC C</t>
  </si>
  <si>
    <t>GAT GGG CGA GAG ACT GGG TTA CAG TCA GAG GTA GTT GGT TGG GAG ACG AAT CTC CCT ATA GTG AGT CG</t>
  </si>
  <si>
    <t>TTC TAA TAC GAC TCA CTA TAG GGA GAT TCG TCT CCC AGA ATA GAA CAA AGG GTT AGC AGA ACC CAG AGG ACG AGG</t>
  </si>
  <si>
    <t>CCT CGT CCT CTG GGT TCT GCT AAC CCT TTG TTC TAT TCT GGG AGA CGA ATC TCC CTA TAG TGA GTC GTA TTA GAA</t>
  </si>
  <si>
    <t>CCA ACT ACC TAT GAC TGT AAC CCA GTC TCT TAA TAC GAC TCA CTA TAG GGA GAT TCG TCT CCC ATC TTC CAG GTA CAC CCT GGC TCT AAT ATC CTC GCA</t>
  </si>
  <si>
    <t>GAA TAG AAC AAA AGA GGA CGA GGT TGG GAG ATT CGT CTC CCT ATA GTG AGT CG</t>
  </si>
  <si>
    <t>GAA TAG AAC AAA TAG AGG ACG AGG TTG GGA GAT TCG TCT CCC TAT AGT GAG TCG</t>
  </si>
  <si>
    <t>GAA TAG AAC AAA TTA GAG GAC GAG GTT GGG AGA TTC GTC TCC CTA TAG TGA GTC G</t>
  </si>
  <si>
    <t>GAA GAT GAA GGT GTA CCG TAT AGG TAC TAG TAA TAC GAC TCA CTA TAG ACA TAC AGA TTA ACC AGA CAG TGA C</t>
  </si>
  <si>
    <t>GCT CTC CAT CTT CCA GGT ACA CCC TGG CTC TAA TAC GAC TCA CTA TAG ACA TAC AGA TTA ACC AGA CAG TGA C</t>
  </si>
  <si>
    <t>TCT CTT ACC CTC GCT CGT CCT CCG AGC CTC TAA TAC GAC TCA CTA TAG ACA TAC AGA TTA ACC AGA CAG TGA C</t>
  </si>
  <si>
    <t>GAA TAG AAC AGA GGG TTA GCA GAA CCC AGA TAA TAC GAC TCA CTA TAG ACA TAC AGA TTA ACC AGA CAG TGA C</t>
  </si>
  <si>
    <t>TGT CCA TAT CTA GAC CGT CTG ACA CGG TGC GTA ATA CGA CTC ACT ATA GAC ATA CAG ATT AAC CAG ACA GTG AC</t>
  </si>
  <si>
    <t>GTC GCG TGT ATT ATC TGG GTT CTG CTA ACC CTC TG</t>
  </si>
  <si>
    <t>CCT CGT CCT CTG GGT TCT GCT AAC CCmU mCmUmG mUmUmC mUmAmU mUmC</t>
  </si>
  <si>
    <t>AGC AGA AGT ATT AAG AGA CTG GGT TAC AGT CAT AG</t>
  </si>
  <si>
    <t>GAT GGG CGA GAG ACT GGG TTA CAG TCmA mUmAmG mGmUmA mGmUmU mGmG</t>
  </si>
  <si>
    <t>UT-nt</t>
  </si>
  <si>
    <t>UT-t</t>
  </si>
  <si>
    <t>G1C3-nt</t>
  </si>
  <si>
    <t>G3C9-nt</t>
  </si>
  <si>
    <t>C9-t</t>
  </si>
  <si>
    <t>U-C8-nt</t>
  </si>
  <si>
    <t>U-C8-t</t>
  </si>
  <si>
    <t>G4CS8-nt (0)</t>
  </si>
  <si>
    <t>G4CS8-nt (1)</t>
  </si>
  <si>
    <t>G4CS8-nt (2)</t>
  </si>
  <si>
    <t>CS8-t (0)</t>
  </si>
  <si>
    <t>CS8-t (1)</t>
  </si>
  <si>
    <t>CS8-t (2)</t>
  </si>
  <si>
    <t>G3S1-nt</t>
  </si>
  <si>
    <t>G4S1-nt</t>
  </si>
  <si>
    <t>G5S1-nt</t>
  </si>
  <si>
    <t>G8S1-nt</t>
  </si>
  <si>
    <t>G13S1-nt</t>
  </si>
  <si>
    <t>A8</t>
  </si>
  <si>
    <t>B8</t>
  </si>
  <si>
    <t>A9</t>
  </si>
  <si>
    <t>B9</t>
  </si>
  <si>
    <t>G9R4-nt</t>
  </si>
  <si>
    <t>GCT CTC CAT CTT CCA GGT ACA CCC TGG CTC TAA TAC GAC TCA CTA TAG GGA GAT TCG TCT CCC AAC CTC GTC CTC TTT TGT TCT ATT C</t>
  </si>
  <si>
    <t>GCT CTC CAT CTT CCA GGT ACA CCC TGG CTC TAA TAC GAC TCA CTA TAG GGA GAT TCG TCT CCC AAC CTC GTC CTC TAT TTG TTC TAT TC</t>
  </si>
  <si>
    <t>GCT CTC CAT CTT CCA GGT ACA CCC TGG CTC TAA TAC GAC TCA CTA TAG GGA GAT TCG TCT CCC AAC CTC GTC CTC TAA TTT GTT CTA TTC</t>
  </si>
  <si>
    <t>TCT CCG GCT ATT ACG CAC CGT GTC AGA CGG TCT AG</t>
  </si>
  <si>
    <t>AAG AGC TCC GCA CCG TGT CAG ACG GTmC mUmAmG mAmUmA mUmGmG mAmC</t>
  </si>
  <si>
    <t>GGT AGG GTG AGC CAG GGT GTA CCT GGA AGA TGG AGA GC</t>
  </si>
  <si>
    <t>GGG ACG AAT ATT AGA GGC TCG GAG GAC GAG CGA GG</t>
  </si>
  <si>
    <t>GTA GTG TGG AGG CTC GGA GGA CGA GCG AGG GTA AGA GA</t>
  </si>
  <si>
    <t>TGC GAG GAT ATT AGA GCC AGG GTG TAC CTG GAA GA</t>
  </si>
  <si>
    <t>GGG ACG AAT ATT AGA GGC TCG GAG GAC GAG CGA GG/3IAbRQSp/</t>
  </si>
  <si>
    <t>GTC GCG TGT ATT ATC TGG GTT CTG CTA ACC CTC TG/3IAbRQSp/</t>
  </si>
  <si>
    <t>TCT CCG GCT ATT ACG CAC CGT GTC AGA CGG TCT AG/3IAbRQSp/</t>
  </si>
  <si>
    <t>TCC AGC TCT ATT ACG TCG CCA CGG TTT GGC GTG CA</t>
  </si>
  <si>
    <t>A13</t>
  </si>
  <si>
    <t>B13</t>
  </si>
  <si>
    <t>B4</t>
  </si>
  <si>
    <t>A5</t>
  </si>
  <si>
    <t>B5</t>
  </si>
  <si>
    <t>A4 (no Q)</t>
  </si>
  <si>
    <t>A5 w/ Q</t>
  </si>
  <si>
    <t>A8 w/ Q</t>
  </si>
  <si>
    <t>A13 w/ Q</t>
  </si>
  <si>
    <t>GAA GAT GAA GAT GTA CCG TAT AGG TAC TAG GAA CGA GC</t>
  </si>
  <si>
    <t>CCA ACT ACC TCT GAC TGT AAC CCA GTC TCT CGC CCA TC</t>
  </si>
  <si>
    <t>TCC TTC CAT GCA CGC CAA ACC GTG GCG ACG TAA TAC GAC TCA CTA TAG GGA GAT TCG TCT CCC AAC CAA CTA CCT CTG ACT GTA ACC CAG TCT CTC GCC C</t>
  </si>
  <si>
    <t>DNA C3</t>
  </si>
  <si>
    <t>DNA C9</t>
  </si>
  <si>
    <t>G1C9-nt</t>
  </si>
  <si>
    <t>G3D-nt</t>
  </si>
  <si>
    <t>G5D-nt</t>
  </si>
  <si>
    <t>G8D-nt</t>
  </si>
  <si>
    <t>G13D-nt</t>
  </si>
  <si>
    <t>/5ATTO488N/TGA AGA TGA AGG TGT ACC GTA TAG GTA CTA GTA ATA CGA CTC ACT ATA GGG AGA</t>
  </si>
  <si>
    <t>/5ATTO488N/TCT CTT ACC CTC GCT CGT CCT CCG AGC CTC TAA TAC GAC TCA CTA TAG GGA GA</t>
  </si>
  <si>
    <t>/5ATTO488N/TGA ATA GAA CAG AGG GTT AGC AGA ACC CAG ATA ATA CGA CTC ACT ATA GGG AGA</t>
  </si>
  <si>
    <t>/5ATTO488N/TGT CCA TAT CTA GAC CGT CTG ACA CGG TGC GTA ATA CGA CTC ACT ATA GGG AGA</t>
  </si>
  <si>
    <t>mpB1</t>
  </si>
  <si>
    <t>mpB3</t>
  </si>
  <si>
    <t>pre-C1-nt</t>
  </si>
  <si>
    <t>pre-C1-t</t>
  </si>
  <si>
    <t>GAG TAG GTmU mAmUmU mACG TCG CCA CGG TTT GGC GTG CAT GGA AGG A</t>
  </si>
  <si>
    <t>GCT CGT TCmU mAmUmU mACT AGT ACC TAT ACG GTA CAC CTT CAT CTT C</t>
  </si>
  <si>
    <t>TTC TAA TAC GAC TCA CTA TAG GGA GAT TCG TCT CCC AAA TCC TTC CAT GAA CGC CAA ACC GTG GCG ACG ACC TAC TC</t>
  </si>
  <si>
    <t>GAG TAG GTC GTC GCC ACG GTT TGG CGT TCA TGG AAG GAT TTG GGA GAC GAA TCT CCC TAT AGT GAG TCG TAT TAG AA</t>
  </si>
  <si>
    <t>mB3</t>
  </si>
  <si>
    <t>GCT CGT TCC TAG TAC CTA TAC GGT ACmA mCmCmU mUmCmA mUmCmU mUmC</t>
  </si>
  <si>
    <t>AGC CAA GAT TCA GGT CAA TAA GTG ACC AAG TAA TAC GAC TCA CTA TAG ACA TAC AGA TTA ACC AGA CAG TGA C</t>
  </si>
  <si>
    <t>CCG ACA AAT ATT ACT AGT ACC TAT ACG GTA CAC CT</t>
  </si>
  <si>
    <t>CAT CCC ACT ATT ACT TGG TCA CTT ATT GAC CTG AA</t>
  </si>
  <si>
    <t>G2S1-nt</t>
  </si>
  <si>
    <t>A3 (no q)</t>
  </si>
  <si>
    <t>A2 (no q)</t>
  </si>
  <si>
    <t>A1 (no q)</t>
  </si>
  <si>
    <t>A1 (no q) (no HPLC)</t>
  </si>
  <si>
    <t>TTC TAA TAC GAC TCA CTA TAG GGA GAT TCG TCT CCC AAA TCC TTC CAT GAA CGC CAA ACC GTG GCG ACG AAT AAA CCT ACT C</t>
  </si>
  <si>
    <t>GAG TAG GTT TAT TCG TCG CCA CGG TTT GGC GTT CAT GGA AGG ATT TGG GAG ACG AAT CTC CCT ATA GTG AGT CGT ATT AGA A</t>
  </si>
  <si>
    <t>U-mpC1-nt</t>
  </si>
  <si>
    <t>U-mpC1-t</t>
  </si>
  <si>
    <t>Date Acquired</t>
  </si>
  <si>
    <t>U-mpC3-nt</t>
  </si>
  <si>
    <t>U-mpC3-t</t>
  </si>
  <si>
    <t>U-C3-nt</t>
  </si>
  <si>
    <t>U-C3-t</t>
  </si>
  <si>
    <t>m2d4A1</t>
  </si>
  <si>
    <t>m2d4G1S1-nt</t>
  </si>
  <si>
    <t>G1S1-t</t>
  </si>
  <si>
    <t>G5S1-t</t>
  </si>
  <si>
    <t>GTC ACT GTC TGG TTA ATC TGT ATG TCT ATA GTG AGT CGT ATT AGA GGC TCG GAG GAC GAG CGA GGG TAA GAG A</t>
  </si>
  <si>
    <t>GTC ACT GTC TGG TTA ATC TGT ATG TCT ATA GTG AGT CGT ATT ACG TCG CCA CGG TTT GGC GTG CAT GGA AGG A</t>
  </si>
  <si>
    <t>N/A</t>
  </si>
  <si>
    <t>CCT CGC TCG TCC TCC GAG CCT XCTXA AXTA XTTXC GXTC XCC</t>
  </si>
  <si>
    <t>AzoR5</t>
  </si>
  <si>
    <t>Mingzhi's S1 3' Q</t>
  </si>
  <si>
    <t>TTC TAA TAC GAC TCA CTA TAG GGA GAT TCG TCT CCC AGA AGA TGA AGA TGT ACC GTA TAG GTA CTA GGA ACG AGC</t>
  </si>
  <si>
    <t>GCT CGT TCC TAG TAC CTA TAC GGT ACA TCT TCA TCT TCT GGG AGA CGA ATC TCC CTA TAG TGA GTC GTA TTA GAA</t>
  </si>
  <si>
    <t>TTC TAA TAC GAC TCA CTA TAG GGA GAT TCG TCT CCC AGA AGA TGA AGA TGT ACC GTA TAG GTA CTA GAA TAA GAA CGA GC</t>
  </si>
  <si>
    <t>GCT CGT TCT TAT TCT AGT ACC TAT ACG GTA CAT CTT CAT CTT CTG GGA GAC GAA TCT CCC TAT AGT GAG TCG TAT TAG AA</t>
  </si>
  <si>
    <t>TCC TTC CAT mGmCA CGC mCmAA ACC mGmUG GCG mAmCG TAA TAC GAC TCA CTA TAG ACA TAC AGA TTA ACC AGA CAG TGA C</t>
  </si>
  <si>
    <t>TCC AGC TCT ATT ACG mUmCG CCA mCmGG TTT mGmGC GTG mCmA</t>
  </si>
  <si>
    <t>Mingzhi's G1C1-nt</t>
  </si>
  <si>
    <t>TCC TTC CAT GCA CGC CAA ACC GTG GCG ACG TAA TAC GAC TCA CTA TAG GGA GAT TCG TCT CCC AAA TCC TTC CAT GAA CGC CAA ACC GTG GCG ACG ACC T</t>
  </si>
  <si>
    <t>3'm5G1S1-nt</t>
  </si>
  <si>
    <t>TCC TTC CAT GCA CGC CAA ACC GTG GCG ACG TAA TAC GAC TCA CTA TAG ACA TAC AGA TTA ACC AGA CAmG mUmGmA mC</t>
  </si>
  <si>
    <t>Organization</t>
  </si>
  <si>
    <t>Each sheet on this repository has strands related to the given OCE (orthogonal circuit element). This means A1, C1, and genelets whose input domain is G1 will be under "G1 Strands."</t>
  </si>
  <si>
    <t>12/22 A5</t>
  </si>
  <si>
    <t>10/22 A5</t>
  </si>
  <si>
    <t>8/22 A5</t>
  </si>
  <si>
    <t>6/22 A5</t>
  </si>
  <si>
    <t>12/22 G5S1-nt*</t>
  </si>
  <si>
    <t>10/22 G5S1-nt*</t>
  </si>
  <si>
    <t>8/22 G5S1-nt*</t>
  </si>
  <si>
    <t>6/22 G5S1-nt*</t>
  </si>
  <si>
    <t>GGG ACG AAT ATT AGA GGC TCG GAG G</t>
  </si>
  <si>
    <t>GGG ACG AAT ATT AGA GGC TCG GA</t>
  </si>
  <si>
    <t>GGG ACG AAT ATT AGA GGC TCG</t>
  </si>
  <si>
    <t>GGG ACG AAT ATT AGA GGC T</t>
  </si>
  <si>
    <t>CCT CCG AGC CTC TAA TAC GAC TCA CTA TAG ACA TAC AGA TTA ACC AGA CAG TGA C</t>
  </si>
  <si>
    <t>TCC GAG CCT CTA ATA CGA CTC ACT ATA GAC ATA CAG ATT AAC CAG ACA GTG AC</t>
  </si>
  <si>
    <t>CGA GCC TCT AAT ACG ACT CAC TAT AGA CAT ACA GAT TAA CCA GAC AGT GAC</t>
  </si>
  <si>
    <t>AGC CTC TAA TAC GAC TCA CTA TAG ACA TAC AGA TTA ACC AGA CAG TGA C</t>
  </si>
  <si>
    <t>CAT GCA CTT TGT GAG CTA GGA</t>
  </si>
  <si>
    <t>Unglue Spike</t>
  </si>
  <si>
    <t>15 bp AzoR5'</t>
  </si>
  <si>
    <t>GGA GGA CGA GCG AGG</t>
  </si>
  <si>
    <t>Y1 Reporter 5' Q (Blue)</t>
  </si>
  <si>
    <t>/5TYE665/CAT GCA CTT TGT GAG</t>
  </si>
  <si>
    <t>CAA TTT GCG TCG ATG /3IAbRQSp/</t>
  </si>
  <si>
    <t>TCC TAG CTC ACA AAG TGC ATG CAT CGA CGC AAA TTG</t>
  </si>
  <si>
    <t>CTC ACA AAG TGC ATG CAT CGA CGC AAA TTG</t>
  </si>
  <si>
    <t>TCC TAG CTC ACA AAG TGC ATG CAT CGA CGC AAA TTG CCG GCG</t>
  </si>
  <si>
    <t>TCC TAG CTC ACA AAG TGC ATG CAT CGA CGC AAA TTG AAG GAG</t>
  </si>
  <si>
    <t>TCC TAG CTC ACA AAG TGC ATG CAT CGA CGC AAA TTG CCT TCT</t>
  </si>
  <si>
    <t>TCC TAG CTC ACA AAG TGC ATG CAT CGA CGC AAA TTG TTG GTG</t>
  </si>
  <si>
    <t>TCC TAG CTC ACA AAG TGC ATG CAT CGA CGC AAA TTG TTA ATA</t>
  </si>
  <si>
    <t>TCC TAG CTC ACA AAG TGC ATG CAT CGA CGC AAA TTG AAC CAC</t>
  </si>
  <si>
    <t>Glue Rep F</t>
  </si>
  <si>
    <t>Glue Rep Q</t>
  </si>
  <si>
    <t>Glue No 3'TH</t>
  </si>
  <si>
    <t>Glue No 3'5'TH</t>
  </si>
  <si>
    <t>GC-Glue</t>
  </si>
  <si>
    <t>GA-Glue</t>
  </si>
  <si>
    <t>TC-Glue</t>
  </si>
  <si>
    <t>GT-Glue</t>
  </si>
  <si>
    <t>AT-Glue</t>
  </si>
  <si>
    <t>CA-Glue</t>
  </si>
  <si>
    <t>G0S1'-nt</t>
  </si>
  <si>
    <t>A0</t>
  </si>
  <si>
    <t>S1'-t</t>
  </si>
  <si>
    <t>U-S1-nt (w/ 5PSHP)</t>
  </si>
  <si>
    <t>U-S1-t (w/ 5PSHP)</t>
  </si>
  <si>
    <t>DNA S1'</t>
  </si>
  <si>
    <t>ATT GAG GTA AGA AAG GTA AGG ATA ATA CGA CTC ACT ATA GGG AGA TTC GTC TCC CGT CAC TGT CTG GTT AAT CTG TAT GTC</t>
  </si>
  <si>
    <t>TAT TAT CCT TAC CTT TCT TAC CTC AAT</t>
  </si>
  <si>
    <t>GAC ATA CAG ATT AAC CAG ACA GTG ACG GGA GAC GAA TCT CCC TAT AGT GAG TCG</t>
  </si>
  <si>
    <t>CCT TAA TAC GAC TCA CTA TAG GGA GAT TCG TCT CCC GAC ATA CAG ATT AAC CAG ACA GTG AC</t>
  </si>
  <si>
    <t>GTC ACT GTC TGG TTA ATC TGT ATG TCG GGA GAC GAA TCT CCC TAT AGT GAG TCG TAT TAA GG</t>
  </si>
  <si>
    <t>GTC ACT GTC TGG TTA ATC TGT ATG TC</t>
  </si>
  <si>
    <t>G0S1'-nt  (5TEX615)</t>
  </si>
  <si>
    <t>/5TEX615/ATT GAG GTA AGA AAG GTA AGG ATA ATA CGA CTC ACT ATA GGG AGA TTC GTC TCC CGT CAC TGT CTG GTT AAT CTG TAT GTC</t>
  </si>
  <si>
    <t>5L-Glue</t>
  </si>
  <si>
    <t>7L-Glue</t>
  </si>
  <si>
    <t>9L-Glue</t>
  </si>
  <si>
    <t>11L-Glue</t>
  </si>
  <si>
    <t>13L-Glue</t>
  </si>
  <si>
    <t>3A-Glue</t>
  </si>
  <si>
    <t>3C-Glue</t>
  </si>
  <si>
    <t>3T-Glue</t>
  </si>
  <si>
    <t>CC+AG-Glue</t>
  </si>
  <si>
    <t>C+AG-Glue</t>
  </si>
  <si>
    <t>TT+AG-Glue</t>
  </si>
  <si>
    <t>T+AG-Glue</t>
  </si>
  <si>
    <t>A+AG-Glue</t>
  </si>
  <si>
    <t>1C1A+Glue</t>
  </si>
  <si>
    <t>CAA+Glue</t>
  </si>
  <si>
    <t>CAAA+Glue</t>
  </si>
  <si>
    <t>CAAAA+Glue</t>
  </si>
  <si>
    <t>ACAAA+Glue</t>
  </si>
  <si>
    <t>AACAA+Glue</t>
  </si>
  <si>
    <t>AAACA+Glue</t>
  </si>
  <si>
    <t>AAAAC+Glue</t>
  </si>
  <si>
    <t>5A-Glue</t>
  </si>
  <si>
    <t>5L-Unglue</t>
  </si>
  <si>
    <t>7L-Unglue</t>
  </si>
  <si>
    <t>9L-Unglue</t>
  </si>
  <si>
    <t>11L-Unglue</t>
  </si>
  <si>
    <t>13L-Unglue</t>
  </si>
  <si>
    <t>TCC TAG CTC ACA AAG TGC ATG CAT CGA CGC AAA TTG CGA CTA GGT GTC G</t>
  </si>
  <si>
    <t>TCC TAG CTC ACA AAG TGC ATG CAT CGA CGC AAA TTG CGA CTA GGA ATG TCG</t>
  </si>
  <si>
    <t>TCC TAG CTC ACA AAG TGC ATG CAT CGA CGC AAA TTG CGA CTA GGA AGA TGT CG</t>
  </si>
  <si>
    <t>TCC TAG CTC ACA AAG TGC ATG CAT CGA CGC AAA TTG CGA CTA GGA AGA ATT GTC G</t>
  </si>
  <si>
    <t>TCC TAG CTC ACA AAG TGC ATG CAT CGA CGC AAA TTG CGA CTA GGA AGA ATG ATG TCG</t>
  </si>
  <si>
    <t>TCC TAG CTC ACA AAG TGC ATG CAT CGA CGC AAA TTG AAA</t>
  </si>
  <si>
    <t>TCC TAG CTC ACA AAG TGC ATG CAT CGA CGC AAA TTG CCC</t>
  </si>
  <si>
    <t>TCC TAG CTC ACA AAG TGC ATG CAT CGA CGC AAA TTG TTT</t>
  </si>
  <si>
    <t>TCC TAG CTC ACA AAG TGC ATG CAT CGA CGC AAA TTG CCA AGG AG</t>
  </si>
  <si>
    <t>TCC TAG CTC ACA AAG TGC ATG CAT CGA CGC AAA TTG CAA GGA G</t>
  </si>
  <si>
    <t>TCC TAG CTC ACA AAG TGC ATG CAT CGA CGC AAA TTG TTA AGG AG</t>
  </si>
  <si>
    <t>TCC TAG CTC ACA AAG TGC ATG CAT CGA CGC AAA TTG TAA GGA G</t>
  </si>
  <si>
    <t>TCC TAG CTC ACA AAG TGC ATG CAT CGA CGC AAA TTG AAA GGA G</t>
  </si>
  <si>
    <t>TCC TAG CTC ACA AAG TGC ATG CAT CGA CGC AAA TTG CA</t>
  </si>
  <si>
    <t>TCC TAG CTC ACA AAG TGC ATG CAT CGA CGC AAA TTG CAA</t>
  </si>
  <si>
    <t>TCC TAG CTC ACA AAG TGC ATG CAT CGA CGC AAA TTG CAA A</t>
  </si>
  <si>
    <t>TCC TAG CTC ACA AAG TGC ATG CAT CGA CGC AAA TTG CAA AA</t>
  </si>
  <si>
    <t>TCC TAG CTC ACA AAG TGC ATG CAT CGA CGC AAA TTG ACA AA</t>
  </si>
  <si>
    <t>TCC TAG CTC ACA AAG TGC ATG CAT CGA CGC AAA TTG AAC AA</t>
  </si>
  <si>
    <t>TCC TAG CTC ACA AAG TGC ATG CAT CGA CGC AAA TTG AAA CA</t>
  </si>
  <si>
    <t>TCC TAG CTC ACA AAG TGC ATG CAT CGA CGC AAA TTG AAA AC</t>
  </si>
  <si>
    <t>TCC TAG CTC ACA AAG TGC ATG CAT CGA CGC AAA TTG AAA AA</t>
  </si>
  <si>
    <t>CGA CAC CTA GTC GCA ATT TGC GTC GAT GCA TGC ACT TTG TGA G</t>
  </si>
  <si>
    <t>CGA CAT TCC TAG TCG CAA TTT GCG TCG ATG CAT GCA CTT TGT GAG</t>
  </si>
  <si>
    <t>CGA CAT CTT CCT AGT CGC AAT TTG CGT CGA TGC ATG CAC TTT GTG AG</t>
  </si>
  <si>
    <t>CGA CAA TTC TTC CTA GTC GCA ATT TGC GTC GAT GCA TGC ACT TTG TGA G</t>
  </si>
  <si>
    <t>CGA CAT CAT TCT TCC TAG TCG CAA TTT GCG TCG ATG CAT GCA CTT TGT GAG</t>
  </si>
  <si>
    <t>AA+AG-Glue</t>
  </si>
  <si>
    <t>TCC TAG CTC ACA AAG TGC ATG CAT CGA CGC AAA TTG AAA AGG AG</t>
  </si>
  <si>
    <t>A20</t>
  </si>
  <si>
    <t>S1-t (w/ 5PSHP)</t>
  </si>
  <si>
    <t>CTT CCT GTA GTT AAT ACG ACT CAC TAT AGG GAG ATT CGT CTC CCG ACA TAC AGA TTA ACC AGA CAG TGA C</t>
  </si>
  <si>
    <t>CTT CCT GTA GTT AAT AGC GTT CAG</t>
  </si>
  <si>
    <t>CTG AAC GCT ATT AAC TAC AGG AAG</t>
  </si>
  <si>
    <t>GTC ACT GTC TGG TTA ATC TGT ATG TCG GGA GAC GAA TCT CCC TAT AGT GAG TCG</t>
  </si>
  <si>
    <t>S2_rep_Q</t>
  </si>
  <si>
    <t>S2_rep_F</t>
  </si>
  <si>
    <t>DNA S2</t>
  </si>
  <si>
    <t>U-S2-nt</t>
  </si>
  <si>
    <t>U-S2-t</t>
  </si>
  <si>
    <t>CTC ACA AAG TGC ATG CAT CGA CGC /3IAbRQSp/</t>
  </si>
  <si>
    <t>/5TEX615/CAA TTT GCG TCG ATG CAT GCA CTT TGT GAG</t>
  </si>
  <si>
    <t>CCT TAA TAC GAC TCA CTA TAG GGA GAT TCG TCT CCC ACT CAC AAA GTG CAT GCA TCG ACG CAA ATT G</t>
  </si>
  <si>
    <t>CAA TTT GCG TCG ATG CAT GCA CTT TGT GAG TGG GAG ACG AAT CTC CCT ATA GTG AGT CGT ATT AAG G</t>
  </si>
  <si>
    <t>(MUTANT) S2_rep_Q</t>
  </si>
  <si>
    <t>(MUTANT) S2_rep_F</t>
  </si>
  <si>
    <t>(MUTANT) DNA S2</t>
  </si>
  <si>
    <t>(MUTANT) U-S2-nt</t>
  </si>
  <si>
    <t>(MUTANT) U-S2-t</t>
  </si>
  <si>
    <t>CTC ACA AAG TGC ATG CAT CGA CGG /3IAbRQSp/</t>
  </si>
  <si>
    <t>/5TEX615/CAA TTT CCG TCG ATG CAT GCA CTT TGT GAG</t>
  </si>
  <si>
    <t>CTC ACA AAG TGC ATG CAT CGA CGG AAA TTG</t>
  </si>
  <si>
    <t>CCT TAA TAC GAC TCA CTA TAG GGA GAT TCG TCT CCC ACT CAC AAA GTG CAT GCA TCG ACG GAA ATT G</t>
  </si>
  <si>
    <t>CAA TTT CCG TCG ATG CAT GCA CTT TGT GAG TGG GAG ACG AAT CTC CCT ATA GTG AGT CGT ATT AAG G</t>
  </si>
  <si>
    <t>RNA S1</t>
  </si>
  <si>
    <t>RNA S2</t>
  </si>
  <si>
    <t>rGrArC rArUrA rCrArG rArUrU rArArC rCrArG rArCrA rGrUrG rArC</t>
  </si>
  <si>
    <t>rCrUrC rArCrA rArArG rUrGrC rArUrG rCrArU rCrGrA rCrGrG rArArA rUrUrG</t>
  </si>
  <si>
    <t>G20S1-nt (w/ 5PSHP)</t>
  </si>
  <si>
    <t>U-S1-nt + Term</t>
  </si>
  <si>
    <t>U-S1-t + Term</t>
  </si>
  <si>
    <t>U-S2-nt + Term</t>
  </si>
  <si>
    <t>U-S2-t + Term</t>
  </si>
  <si>
    <t>CCT TAA TAC GAC TCA CTA TAG GGA GAT TCG TCT CCC GAC ATA CAG ATT AAC CAG ACA GTG ACA TCT GTT AGT TTT TTT G</t>
  </si>
  <si>
    <t>CAA AAA AAC TAA CAG ATG TCA CTG TCT GGT TAA TCT GTA TGT CGG GAG ACG AAT CTC CCT ATA GTG AGT CGT ATT AAG G</t>
  </si>
  <si>
    <t>CCT TAA TAC GAC TCA CTA TAG GGA GAT TCG TCT CCC ACT CAC AAA GTG CAT GCA TCG ACG GAA ATT GAT CTG TTA GTT TTT TTG</t>
  </si>
  <si>
    <t>CAA AAA AAC TAA CAG ATC AAT TTC CGT CGA TGC ATG CAC TTT GTG AGT GGG AGA CGA ATC TCC CTA TAG TGA GTC GTA TTA AGG</t>
  </si>
  <si>
    <t xml:space="preserve"> HPLC</t>
  </si>
  <si>
    <t>sG1S1-nt</t>
  </si>
  <si>
    <t>sA1</t>
  </si>
  <si>
    <t>sB1</t>
  </si>
  <si>
    <t>DNA sR1</t>
  </si>
  <si>
    <t>DNA sC1</t>
  </si>
  <si>
    <t>TCC TTC CAT CCA CGC CAA ACC GTG GCG ACG TAA TAC GAC TCA CTA TAG ACA TAC AGA TTA ACC AGA CAG TGA C</t>
  </si>
  <si>
    <t>TCC AGC TCT ATT ACG TCG CCA CGG TTT GGC GTG GA</t>
  </si>
  <si>
    <t>GAG TAG GTC GTC GCC ACG GTT TGG CGT GGA TGG AAG GA</t>
  </si>
  <si>
    <t>TCC ACG CCA AAC CGT GGC GAC GTA ATA GAG CTG GA</t>
  </si>
  <si>
    <t>TCC TTC CAT CCA CGC CAA ACC GTG GCG ACG ACC TAC TC</t>
  </si>
  <si>
    <t>sG3S1-nt</t>
  </si>
  <si>
    <t>sA3</t>
  </si>
  <si>
    <t>sB3</t>
  </si>
  <si>
    <t>DNA sR3</t>
  </si>
  <si>
    <t>DNA sC3</t>
  </si>
  <si>
    <t>CTT CTT ACC TTC GTA CCG TAT AGG TAC TAG TAA TAC GAC TCA CTA TAG ACA TAC AGA TTA ACC AGA CAG TGA C</t>
  </si>
  <si>
    <t>CCG ACA AAT ATT ACT AGT ACC TAT ACG GTA CGA AG</t>
  </si>
  <si>
    <t>GCT CGT TCC TAG TAC CTA TAC GGT ACG AAG GTA AGA AG</t>
  </si>
  <si>
    <t>CTT CGT ACC GTA TAG GTA CTA GTA ATA TTT GTC GG</t>
  </si>
  <si>
    <t>CTT CTT ACC TTC GTA CCG TAT AGG TAC TAG GAA CGA GC</t>
  </si>
  <si>
    <t>sG13S1-nt</t>
  </si>
  <si>
    <t>sA13</t>
  </si>
  <si>
    <t>sB13</t>
  </si>
  <si>
    <t>DNA sR13</t>
  </si>
  <si>
    <t>DNA sC13</t>
  </si>
  <si>
    <t>GTT TCC ATT ACT ACC GTC TGA CAC GGT GCG TAA TAC GAC TCA CTA TAG ACA TAC AGA TTA ACC AGA CAG TGA C</t>
  </si>
  <si>
    <t>TCT CCG GCT ATT ACG CAC CGT GTC AGA CGG TAG TA</t>
  </si>
  <si>
    <t>AAG AGC TCC GCA CCG TGT CAG ACG GTA GTA ATG GAA AC</t>
  </si>
  <si>
    <t>TAC TAC CGT CTG ACA CGG TGC GTA ATA GCC GGA GA</t>
  </si>
  <si>
    <t>GTT TCC ATT ACT ACC GTC TGA CAC GGT GCG GAG CTC TT</t>
  </si>
  <si>
    <t>AzoR20</t>
  </si>
  <si>
    <t>CTXT CXCTX GTXA GXTTX AAXT AXGCX GTXT CXAG</t>
  </si>
  <si>
    <t>Biosynthesis (Corp)</t>
  </si>
  <si>
    <t>U-S1-nt + T C. I</t>
  </si>
  <si>
    <t>U-S1-t + T C. I</t>
  </si>
  <si>
    <t>CCT TAA TAC GAC TCA CTA TAG GGA GAT TCG TCT CCC GAC ATA CAG ATT AAC CAG ACA GTG ACA AAA GAT AGG CCG CTT CGG CGG CCT ATC TGT TTT TTT T</t>
  </si>
  <si>
    <t>AAA AAA AAC AGA TAG GCC GCC GAA GCG GCC TAT CTT TTG TCA CTG TCT GGT TAA TCT GTA TGT CGG GAG ACG AAT CTC CCT ATA GTG AGT CGT ATT AAG G</t>
  </si>
  <si>
    <t>New U-S2-nt</t>
  </si>
  <si>
    <t>New U-S2-t</t>
  </si>
  <si>
    <t>New S2_rep_Q</t>
  </si>
  <si>
    <t>New S2_rep_F</t>
  </si>
  <si>
    <t>New DNA S2</t>
  </si>
  <si>
    <t>CCT TAA TAC GAC TCA CTA TAG GGA GAT TCG TCT CCC ACT CAA GTA GAC CAT CGA CGG AAA TTG</t>
  </si>
  <si>
    <t>CAA TTT CCG TCG ATG GTC TAC TTG AGT GGG AGA CGA ATC TCC CTA TAG TGA GTC GTA TTA AGG</t>
  </si>
  <si>
    <t>CTC AAG TAG ACC ATC GAC GG/3IAbRQSp/</t>
  </si>
  <si>
    <t>/5TEX615/CAA TTT CCG TCG ATG GTC TAC TTG AG</t>
  </si>
  <si>
    <t>CTC AAG TAG ACC ATC GAC GGA AAT TG</t>
  </si>
  <si>
    <t>5FAM U-S1-nt</t>
  </si>
  <si>
    <t>5FAM U-S1-t</t>
  </si>
  <si>
    <t>/56-FAM/CCT TAA TAC GAC TCA CTA TAG GGA GAT TCG TCT CCC GAC ATA CAG ATT AAC CAG ACA GTG AC</t>
  </si>
  <si>
    <t>/56-FAM/TGT CAC TGT CTG GTT AAT CTG TAT GTC GGG AGA CGA ATC TCC CTA TAG TGA GTC GTA TTA AGG</t>
  </si>
  <si>
    <t>U-S1-nt + TC.1 + B7</t>
  </si>
  <si>
    <t>U-S1-t + TC.1 + B7</t>
  </si>
  <si>
    <t>U-S1-nt + B7</t>
  </si>
  <si>
    <t>U-S1-t + B7</t>
  </si>
  <si>
    <t>CCT TAA TAC GAC TCA CTA TAG GGA GAT TCG TCT CCC GAC ATA CAG ATT AAC CAG ACA GTG ACA AAA GAT AGG CCG CTT CGG CGG CCT ATC TGT TTT TTT T/3Bio/</t>
  </si>
  <si>
    <t>/5Biosg/AAA AAA AAC AGA TAG GCC GCC GAA GCG GCC TAT CTT TTG TCA CTG TCT GGT TAA TCT GTA TGT CGG GAG ACG AAT CTC CCT ATA GTG AGT CGT ATT AAG G</t>
  </si>
  <si>
    <t>CCT TAA TAC GAC TCA CTA TAG GGA GAT TCG TCT CCC GAC ATA CAG ATT AAC CAG ACA GTG ACT TTT TTT TTT TT/3Bio/</t>
  </si>
  <si>
    <t>/5Biosg/AAA AAA AAA AAA GTC ACT GTC TGG TTA ATC TGT ATG TCG GGA GAC GAA TCT CCC TAT AGT GAG TCG TAT TAA GG</t>
  </si>
  <si>
    <t>U-S1-nt-intB7c</t>
  </si>
  <si>
    <t>U-S1-t + intB7</t>
  </si>
  <si>
    <t>CCT TAA TAC GAC TCA CTA TAG GGA GAT TCG TCT CCC GAC ATA CAG ATT AAC CAG ACA GTG ACT TTT TTT TTT TAA GTA CCG TCT AAA GG</t>
  </si>
  <si>
    <t>CCT TTA GAC GGT ACT /iBiodT/AA AAA AAA AAA GTC ACT GTC TGG TTA ATC TGT ATG TCG GGA GAC GAA TCT CCC TAT AGT GAG TCG TAT TAA GG</t>
  </si>
  <si>
    <t>Mod Present</t>
  </si>
  <si>
    <t>CCT TTG CGA ACG ACG AGG TAA TGA TGG TCG TAA TAC GAC TCA CTA TAG GGA GAT TCG TCT CCC GAC ATA CAG ATT AAC CAG ACA GTG AC</t>
  </si>
  <si>
    <t>CTA CCA GTT ATT ACG ACC ATC ATT ACC TTG TCG</t>
  </si>
  <si>
    <t>CAT GCA ACC GAC CAT CAT TAC CTC ATC GTT CGC AGA GG</t>
  </si>
  <si>
    <t>HT_G1S1-nt</t>
  </si>
  <si>
    <t>HT_A1</t>
  </si>
  <si>
    <t>HT_B1</t>
  </si>
  <si>
    <t>HTG1S1-nt_1</t>
  </si>
  <si>
    <t>HTG_A1_1</t>
  </si>
  <si>
    <t>HTG_B1_1</t>
  </si>
  <si>
    <t>CGT GCT TCC ACC TCC ACC ATT CAA CGC ACG TAA TAC GAC TCA CTA TAG GGA GAT TCG TCT CCC GAC ATA CAG ATT AAC CAG ACA GTG AC</t>
  </si>
  <si>
    <t>CTA ACA GTC CTC CTA TTA CGT GCG TTG AAT GGT GGA GG</t>
  </si>
  <si>
    <t>CGT AGG CTC GTG CGT TGA ATG GTG GAG GTG GAA GCA CG</t>
  </si>
  <si>
    <t>Open 7L-Glue</t>
  </si>
  <si>
    <t>Open 11L-Glue</t>
  </si>
  <si>
    <t>15L-Glue</t>
  </si>
  <si>
    <t>15L-Unglue</t>
  </si>
  <si>
    <t>17L-Glue</t>
  </si>
  <si>
    <t>17L-Unglue</t>
  </si>
  <si>
    <t>19L-Glue</t>
  </si>
  <si>
    <t>19L-Unglue</t>
  </si>
  <si>
    <t>21L-Glue</t>
  </si>
  <si>
    <t>21L-Unglue</t>
  </si>
  <si>
    <t>21L-5S-Glue</t>
  </si>
  <si>
    <t>21L-5S-Unglue</t>
  </si>
  <si>
    <t>23L-Glue</t>
  </si>
  <si>
    <t>23L-Unglue</t>
  </si>
  <si>
    <t>23L-5S-Glue</t>
  </si>
  <si>
    <t>23L-5S-Unglue</t>
  </si>
  <si>
    <t>25L-Glue</t>
  </si>
  <si>
    <t>25L-Unglue</t>
  </si>
  <si>
    <t>25L-5S-Glue</t>
  </si>
  <si>
    <t>25L-5S-Unglue</t>
  </si>
  <si>
    <t>Open 17L-Glue</t>
  </si>
  <si>
    <t>Open 25L-Glue</t>
  </si>
  <si>
    <t>5L-C-Glue</t>
  </si>
  <si>
    <t>7L-C-Glue</t>
  </si>
  <si>
    <t>9L-C-Glue</t>
  </si>
  <si>
    <t>11L-C-Glue</t>
  </si>
  <si>
    <t>13L-C-Glue</t>
  </si>
  <si>
    <t>TCC TAG CTC ACA AAG TGC ATG CAT CGA CGC AAA TTG CGA CTA GGA AT</t>
  </si>
  <si>
    <t>TCC TAG CTC ACA AAG TGC ATG CAT CGA CGC AAA TTG CGA CTA GGA AGA ATT</t>
  </si>
  <si>
    <t>TCC TAG CTC ACA AAG TGC ATG CAT CGA CGC AAA TTG CGA CTA GGA AGA AGA TGA TGT CG</t>
  </si>
  <si>
    <t>CGA CAT CAT CTT CTT CCT AGT CGC AAT TTG CGT CGA TGC ATG CAC TTT GTG AG</t>
  </si>
  <si>
    <t>TCC TAG CTC ACA AAG TGC ATG CAT CGA CGC AAA TTG CGA CTA GGA AGA ATG AAT GAT GTC G</t>
  </si>
  <si>
    <t>CGA CAT CAT TCA TTC TTC CTA GTC GCA ATT TGC GTC GAT GCA TGC ACT TTG TGA G</t>
  </si>
  <si>
    <t>TCC TAG CTC ACA AAG TGC ATG CAT CGA CGC AAA TTG CGA CTA GGA AGA ATG AAT GAG ATG TCG</t>
  </si>
  <si>
    <t>CGA CAT CTC ATT CAT TCT TCC TAG TCG CAA TTT GCG TCG ATG CAT GCA CTT TGT GAG</t>
  </si>
  <si>
    <t>TCC TAG CTC ACA AAG TGC ATG CAT CGA CGC AAA TTG CGA CTA GGA AGA ATG AAT GAA TGA TGT CG</t>
  </si>
  <si>
    <t>CGA CAT CAT TCA TTC ATT CTT CCT AGT CGC AAT TTG CGT CGA TGC ATG CAC TTT GTG AG</t>
  </si>
  <si>
    <t>TCC TAG CTC ACA AAG TGC ATG CAT CGA CGC AAA TTG CCG ACT AGG AAG AAT GAA TGA ATG ATG TCG G</t>
  </si>
  <si>
    <t>CCG ACA TCA TTC ATT CAT TCT TCC TAG TCG GCA ATT TGC GTC GAT GCA TGC ACT TTG TGA G</t>
  </si>
  <si>
    <t>TCC TAG CTC ACA AAG TGC ATG CAT CGA CGC AAA TTG CGA CTA GGA AGA ATG AAT GAA TGA GAT GTC G</t>
  </si>
  <si>
    <t>CGA CAT CTC ATT CAT TCA TTC TTC CTA GTC GCA ATT TGC GTC GAT GCA TGC ACT TTG TGA G</t>
  </si>
  <si>
    <t>TCC TAG CTC ACA AAG TGC ATG CAT CGA CGC AAA TTG CCG ACT AGG AAG AAT GAA TGA ATG AGA TGT CGG</t>
  </si>
  <si>
    <t>CCG ACA TCT CAT TCA TTC ATT CTT CCT AGT CGG CAA TTT GCG TCG ATG CAT GCA CTT TGT GAG</t>
  </si>
  <si>
    <t>TCC TAG CTC ACA AAG TGC ATG CAT CGA CGC AAA TTG CGA CTA GGA AGA ATG AAT GAA TGA ATG ATG TCG</t>
  </si>
  <si>
    <t>CGA CAT CAT TCA TTC ATT CAT TCT TCC TAG TCG CAA TTT GCG TCG ATG CAT GCA CTT TGT GAG</t>
  </si>
  <si>
    <t>TCC TAG CTC ACA AAG TGC ATG CAT CGA CGC AAA TTG CCG ACT AGG AAG AAT GAA TGA ATG AAT GAT GTC GG</t>
  </si>
  <si>
    <t>CCG ACA TCA TTC ATT CAT TCA TTC TTC CTA GTC GGC AAT TTG CGT CGA TGC ATG CAC TTT GTG AG</t>
  </si>
  <si>
    <t>TCC TAG CTC ACA AAG TGC ATG CAT CGA CGC AAA TTG CGA CTA GGA AGA ATG AAT GAT</t>
  </si>
  <si>
    <t>TCC TAG CTC ACA AAG TGC ATG CAT CGA CGC AAA TTG CGA CTA GGA AGA ATG AAT GAA TGA ATG AT</t>
  </si>
  <si>
    <t>TCC TAG CTC ACA AAG TGC ATG CAT CGA CGC AAA TTG CGA CTA CCT GTC G</t>
  </si>
  <si>
    <t>TCC TAG CTC ACA AAG TGC ATG CAT CGA CGC AAA TTG CGA CTA CCA ATG TCG</t>
  </si>
  <si>
    <t>TCC TAG CTC ACA AAG TGC ATG CAT CGA CGC AAA TTG CGA CTA CCA ACA TGT CG</t>
  </si>
  <si>
    <t>TCC TAG CTC ACA AAG TGC ATG CAT CGA CGC AAA TTG CGA CTA CCA ACA ATT GTC G</t>
  </si>
  <si>
    <t>TCC TAG CTC ACA AAG TGC ATG CAT CGA CGC AAA TTG CGA CTA CCA ACA ATC ATG TCG</t>
  </si>
  <si>
    <t>hpUT-nt</t>
  </si>
  <si>
    <t>hpUT-t</t>
  </si>
  <si>
    <t>TTC TAA TAC GAC TCA CTA TAG GGA GAT TCG TCT CCC</t>
  </si>
  <si>
    <t>GGG AGA CGA ATC TCC CTA TAG TGA GTC GTA TTA GAA</t>
  </si>
  <si>
    <t>S1 Reporter long (no F)</t>
  </si>
  <si>
    <t>S1 Reporter short (no Q)</t>
  </si>
  <si>
    <t>GAC ATA CAG ATT AAC CAG ACA</t>
  </si>
  <si>
    <t>A20 (+Q)</t>
  </si>
  <si>
    <t>CTG AAC GCT ATT AAC TAC AGG AAG /3IAbRQSp/</t>
  </si>
  <si>
    <t>/5Cy3/CTT CCT GTA GTT AAT ACG ACT CAC TAT AGG GAG ATT CGT CTC CCG ACA TAC AGA TTA ACC AGA CAG TGA C</t>
  </si>
  <si>
    <t>S1-t + B7 (w/ 5PSHP)</t>
  </si>
  <si>
    <t>G5S1-nt + B7</t>
  </si>
  <si>
    <t>TCT CTT ACC CTC GCT CGT CCT CCG AGC CTC TAA TAC GAC TCA CTA TAG GGA GAT TCG TCT CCC GAC ATA CAG ATT AAC CAG ACA GTG ACT TTT TTT TTT T/3Bio/</t>
  </si>
  <si>
    <t>/5Biosg/AAA AAA AAA AAG TCA CTG TCT GGT TAA TCT GTA TGT CGG GAG ACG AAT CTC CCT ATA GTG AGT CG</t>
  </si>
  <si>
    <t>Rep2b-F</t>
  </si>
  <si>
    <t>Rep2b-Q</t>
  </si>
  <si>
    <t>DNA Rep2b</t>
  </si>
  <si>
    <t>U-Rep2b-nt + B7</t>
  </si>
  <si>
    <t>U-Rep2b-t + B7</t>
  </si>
  <si>
    <t>U-Rep2b-nt</t>
  </si>
  <si>
    <t>U-Rep2b-t</t>
  </si>
  <si>
    <t>Rep1a-F</t>
  </si>
  <si>
    <t>Rep1a-Q</t>
  </si>
  <si>
    <t>DNA Rep1a</t>
  </si>
  <si>
    <t>U-Rep1a-nt + B7</t>
  </si>
  <si>
    <t>U-Rep1a-t + B7</t>
  </si>
  <si>
    <t>U-Rep1a-nt</t>
  </si>
  <si>
    <t>U-Rep1a-t</t>
  </si>
  <si>
    <t>/5Cy3/CTA CAT CCA CAT AC</t>
  </si>
  <si>
    <t>GTT AAT TAG TAT GTG GAT GTA G/3IAbRQSp/</t>
  </si>
  <si>
    <t>CTA CAT CCA CAT ACT AAT TAA C</t>
  </si>
  <si>
    <t>CCT TAA TAC GAC TCA CTA TAG GGA GAT TCG TCT CCC ACT ACA TCC ACA TAC TAA TTA ACT TTT TTT TTT TT/3Bio/</t>
  </si>
  <si>
    <t>/5Biosg/AAA AAA AAA AAA GTT AAT TAG TAT GTG GAT GTA GTG GGA GAC GAA TCT CCC TAT AGT GAG TCG TAT TAA GG</t>
  </si>
  <si>
    <t>CCT TAA TAC GAC TCA CTA TAG GGA GAT TCG TCT CCC ACT ACA TCC ACA TAC TAA TTA AC</t>
  </si>
  <si>
    <t>GTT AAT TAG TAT GTG GAT GTA GTG GGA GAC GAA TCT CCC TAT AGT GAG TCG TAT TAA GG</t>
  </si>
  <si>
    <t>/5ATTO488N/CTA CTT TCA CTT CAC AA</t>
  </si>
  <si>
    <t>TGA TGT TGT GAA GTG AAA GTA G/3IAbRQSp/</t>
  </si>
  <si>
    <t>CTA CTT TCA CTT CAC AAC ATC A</t>
  </si>
  <si>
    <t>CCT TAA TAC GAC TCA CTA TAG GGA GAT TCG TCT CCC ACT ACT TTC ACT TCA CAA CAT CAT TTT TTT TTT TT/3Bio/</t>
  </si>
  <si>
    <t>/5Biosg/AAA AAA AAA AAA TGA TGT TGT GAA GTG AAA GTA GTG GGA GAC GAA TCT CCC TAT AGT GAG TCG TAT TAA GG</t>
  </si>
  <si>
    <t>CCT TAA TAC GAC TCA CTA TAG GGA GAT TCG TCT CCC ACT ACT TTC ACT TCA CAA CAT CA</t>
  </si>
  <si>
    <t>TGA TGT TGT GAA GTG AAA GTA GTG GGA GAC GAA TCT CCC TAT AGT GAG TCG TAT TAA GG</t>
  </si>
  <si>
    <t>G1S1-nt + B7</t>
  </si>
  <si>
    <t>TCC TTC CAT GCA CGC CAA ACC GTG GCG ACG TAA TAC GAC TCA CTA TAG GGA GAT TCG TCT CCC GAC ATA CAG ATT AAC CAG ACA GTG ACT TTT TTT TTT T/3Bio/</t>
  </si>
  <si>
    <t>G8S1-nt + B7</t>
  </si>
  <si>
    <t>GAA TAG AAC AGA GGG TTA GCA GAA CCC AGA TAA TAC GAC TCA CTA TAG GGA GAT TCG TCT CCC GAC ATA CAG ATT AAC CAG ACA GTG ACT TTT TTT TTT T/3Bio/</t>
  </si>
  <si>
    <t>TCT CTT ACC CTC GCT CGT CCT CCG AGC CTC TAA TAC GAC TCA CTA TAG GGA GAT TCG TCT CCC ATG CAC GCC AAA CCG TGG CGA CGT AAT AGA GCT GGA TTT TTT TTT TT/3Bio/</t>
  </si>
  <si>
    <t>G5R1-nt + B7</t>
  </si>
  <si>
    <t>R1-t + B7</t>
  </si>
  <si>
    <t>/5Biosg/AAA AAA AAA AAT CCA GCT CTA TTA CGT CGC CAC GGT TTG GCG TGC ATG GGA GAC GAA TCT CCC TAT AGT GAG TCG</t>
  </si>
  <si>
    <t>CR1TH</t>
  </si>
  <si>
    <t>CR1 Comp</t>
  </si>
  <si>
    <t>CR1TH + Q</t>
  </si>
  <si>
    <t>CR1 Comp + F</t>
  </si>
  <si>
    <t>DNA I1</t>
  </si>
  <si>
    <t>TCC TAG CGC ACC AAT CCA GTC ACT GTC TGG TTA ATC TGT ATG TC</t>
  </si>
  <si>
    <t>GAC ATA CAG ATT AAC CAG ACA CGC ACT GGA TTG GTG CG</t>
  </si>
  <si>
    <t>TCC TAG CGC ACC AAT CCA GTC ACT GTC TGG TTA ATC TGT ATG TC/3IAbRQSp/</t>
  </si>
  <si>
    <t>/5TYE665/GAC ATA CAG ATT AAC CAG ACA CGC ACT GGA TTG GTG CG</t>
  </si>
  <si>
    <t>TGG ATT GGT GCG CTA GGA</t>
  </si>
  <si>
    <t>G20S1-nt (+F) (w/ 5PSHP)</t>
  </si>
  <si>
    <t>HP Rep</t>
  </si>
  <si>
    <t>/5IAbRQ/GTT AAT TAG TAT GTG GTC ATA CTA /3ATTO488N/</t>
  </si>
  <si>
    <t>GAA TAG AAC AGA GGG TTA GCA GAA CCC AGA TAA TAC GAC TCA CTA TAG GGA GAT TCG TCT CCC ACA ATT AAT CAT ACA CCA GTA TGA TTT TTT TTT TTT /3Bio/</t>
  </si>
  <si>
    <t>/5Biosg/AAA AAA AAA AAA TCA TAC TGG TGT ATG ATT AAT TGT GGG AGA CGA ATC TCC CTA TAG TGA GTC G</t>
  </si>
  <si>
    <t>G20S1-nt + B7</t>
  </si>
  <si>
    <t>CTT CCT GTA GTT AAT ACG ACT CAC TAT AGG GAG ATT CGT CTC CCG ACA TAC AGA TTA ACC AGA CAG TGA CTT TTT TTT TTT /3Bio/</t>
  </si>
  <si>
    <t>G21S1-nt + B7</t>
  </si>
  <si>
    <t>A21</t>
  </si>
  <si>
    <t>DNA R21</t>
  </si>
  <si>
    <t>GAC TAG GCT ATT ACC ATT CGA TTG</t>
  </si>
  <si>
    <t>CTC CAA GCA GGT AAT ACG ACT CAC TAT AGG GAG ATT CGT CTC CCG ACA TAC AGA TTA ACC AGA CAG TGA CTT TTT TTT TTT /3Bio/</t>
  </si>
  <si>
    <t>CAA TCG AAT GGT AAT AGC CTA GTC</t>
  </si>
  <si>
    <t>CAA TCG AAT GGT AAT ACG ACT CAC TAT AGG GAG ATT CGT CTC CCG ACA TAC AGA TTA ACC AGA CAG TGA CTT TTT TTT TTT /3Bio/</t>
  </si>
  <si>
    <t>DNA R20</t>
  </si>
  <si>
    <t>G22S1-nt + B7</t>
  </si>
  <si>
    <t>A22</t>
  </si>
  <si>
    <t>DNA R22</t>
  </si>
  <si>
    <t>CAC TGG CAT ATT ACC TGC TTG GAG</t>
  </si>
  <si>
    <t>CTC CAA GCA GGT AAT ATG CCA GTG</t>
  </si>
  <si>
    <t>BAD READING</t>
  </si>
  <si>
    <t>100?</t>
  </si>
  <si>
    <t>R5-t + B7</t>
  </si>
  <si>
    <t>/5Biosg/AAA AAA AAA AAG GGA CGA ATA TTA GAG GCT CGG AGG ACG AGC GAG GTT GGG AGA CGA ATC TCC CTA TAG TGA GTC G</t>
  </si>
  <si>
    <t>G5R20-nt + B7</t>
  </si>
  <si>
    <t>TCT CTT ACC CTC GCT CGT CCT CCG AGC CTC TAA TAC GAC TCA CTA TAG GGA GAT TCG TCT CCC AAC TTC CTG TAG TTA ATA GCG TTC AGT TTT TTT TTT T/3Bio/</t>
  </si>
  <si>
    <t>RS5-t + B7</t>
  </si>
  <si>
    <t>/5Biosg/AAA AAA AAA AAC TCT AAT ATT CGT CCC TGG GAG ACG AAT CTC CCT ATA GTG AGT CG</t>
  </si>
  <si>
    <t>G20RS5-nt + B7</t>
  </si>
  <si>
    <t>CTT CCT GTA GTT AAT ACG ACT CAC TAT AGG GAG ATT CGT CTC CCA GGG ACG AAT ATT AGA GTT TTT TTT TTT /3Bio/</t>
  </si>
  <si>
    <t>R20-t + B7</t>
  </si>
  <si>
    <t>/5Biosg/AAA AAA AAA AAC TGA ACG CTA TTA ACT ACA GGA AGT TGG GAG ACG AAT CTC CCT ATA GTG AGT CG</t>
  </si>
  <si>
    <t>Yes</t>
  </si>
  <si>
    <t>G1R5-nt + B7</t>
  </si>
  <si>
    <t>TCC TTC CAT GCA CGC CAA ACC GTG GCG ACG TAA TAC GAC TCA CTA TAG GGA GAT TCG TCT CCC AAC CTC GCT CGT CCT CCG AGC CTC TAA TAT TCG TCC CTT TTT TTT TTT /3Bio/</t>
  </si>
  <si>
    <t>S1 Reporter 3' Q rev</t>
  </si>
  <si>
    <t>S1 Reporter 5' F rev</t>
  </si>
  <si>
    <t>GTC ACT GTC TGG TTA ATC TGT ATG TC/3IAbRQSp/</t>
  </si>
  <si>
    <t>/5TYE665/GAC ATA CAG ATT AAC CAG ACA</t>
  </si>
  <si>
    <t>RS5-t + B7 (HPLC)</t>
  </si>
  <si>
    <t>1C+Glue</t>
  </si>
  <si>
    <t>TCC TAG CTC ACA AAG TGC ATG CAT CGA CGC AAA TTG C</t>
  </si>
  <si>
    <t>AC+Glue</t>
  </si>
  <si>
    <t>AAC+Glue</t>
  </si>
  <si>
    <t>AAAC+Glue</t>
  </si>
  <si>
    <t>TCC TAG CTC ACA AAG TGC ATG CAT CGA CGC AAA TTG AC</t>
  </si>
  <si>
    <t>TCC TAG CTC ACA AAG TGC ATG CAT CGA CGC AAA TTG AAC</t>
  </si>
  <si>
    <t>TCC TAG CTC ACA AAG TGC ATG CAT CGA CGC AAA TTG AAA C</t>
  </si>
  <si>
    <t>(BAD) U-HP Rep-t w/ B7</t>
  </si>
  <si>
    <t>(BAD) U-HP Rep-nt w/ B7</t>
  </si>
  <si>
    <t>S1-MBT-HP5</t>
  </si>
  <si>
    <t>S1-MBT-HP6</t>
  </si>
  <si>
    <t>S1-MBT-HP7</t>
  </si>
  <si>
    <t>S1-MBT-HP8</t>
  </si>
  <si>
    <t>S1-MBT-HP6 HPLC</t>
  </si>
  <si>
    <t>S1-MBT-HP7 HPLC</t>
  </si>
  <si>
    <t>S1-MBT-HP8 HPLC</t>
  </si>
  <si>
    <t>CTC ACA AAG TGC ATG GTC CCA AGT CAC TGT CTG GTT AAT CTG TAT GTC AAG GGA CCA TCG ACG CAA ATT G</t>
  </si>
  <si>
    <t>CTC ACA AAG TGC ATG GTC CAC AAG TCA CTG TCT GGT TAA TCT GTA TGT CAA GTG GAC CAT CGA CGC AAA TTG</t>
  </si>
  <si>
    <t>CTC ACA AAG TGC ATG GTC CAG CAA GTC ACT GTC TGG TTA ATC TGT ATG TCA AGC TGG ACC ATC GAC GCA AAT TG</t>
  </si>
  <si>
    <t>CTC ACA AAG TGC ATG GTC CAG TCA AGT CAC TGT CTG GTT AAT CTG TAT GTC AAG ACT GGA CCA TCG ACG CAA ATT G</t>
  </si>
  <si>
    <t>DNA N1' (FAM)</t>
  </si>
  <si>
    <t>DNA D1 (FAM)</t>
  </si>
  <si>
    <t>AAA AAA ATC ATC CAT CAC /36-FAM/</t>
  </si>
  <si>
    <t>GTA GAG TAT GAA GTG ATG GAT /36-FAM/</t>
  </si>
  <si>
    <t>*G1R3-nt + B7</t>
  </si>
  <si>
    <t>*G1R4-nt + B7</t>
  </si>
  <si>
    <t>*G1R8-nt + B7</t>
  </si>
  <si>
    <t>TGC ACG CCA AAC CGT GGC GAC GTA ATA CGA CTC ACT ATA GGG AGA TTC GTC TCC CAA GGT GTA CCG TAT AGG TAC TAG TAA TAT TTG TCG GTT TTT TTT T/3Bio/</t>
  </si>
  <si>
    <t>TGC ACG CCA AAC CGT GGC GAC GTA ATA CGA CTC ACT ATA GGG AGA TTC GTC TCC CAT CTT CCA GGT ACA CCC TGG CTC TAA TAT CCT CGC ATT TTT TTT T/3Bio/</t>
  </si>
  <si>
    <t>TGC ACG CCA AAC CGT GGC GAC GTA ATA CGA CTC ACT ATA GGG AGA TTC GTC TCC CAC AGA GGG TTA GCA GAA CCC AGA TAA TAC ACG CGA CTT TTT TTT T/3Bio/</t>
  </si>
  <si>
    <t>R3-t + B7</t>
  </si>
  <si>
    <t>*G3R1-nt + B7</t>
  </si>
  <si>
    <t>/5Biosg/AAA AAA AAA CCG ACA AAT ATT ACT AGT ACC TAT ACG GTA CAC CTT GGG AGA CGA ATC TCC CTA TAG TGA GTC G</t>
  </si>
  <si>
    <t>AGG TGT ACC GTA TAG GTA CTA GTA ATA CGA CTC ACT ATA GGG AGA TTC GTC TCC CAT GCA CGC CAA ACC GTG GCG ACG TAA TAG AGC TGG ATT TTT TTT T/3Bio/</t>
  </si>
  <si>
    <t>*G4R1-nt + B7</t>
  </si>
  <si>
    <t>R4-t + B7</t>
  </si>
  <si>
    <t>/5Biosg/AAA AAA AAA TGC GAG GAT ATT AGA GCC AGG GTG TAC CTG GAA GAT GGG AGA CGA ATC TCC CTA TAG TGA GTC G</t>
  </si>
  <si>
    <t>TCT TCC AGG TAC ACC CTG GCT CTA ATA CGA CTC ACT ATA GGG AGA TTC GTC TCC CAT GCA CGC CAA ACC GTG GCG ACG TAA TAG AGC TGG ATT TTT TTT T/3Bio/</t>
  </si>
  <si>
    <t>R8-t + B7</t>
  </si>
  <si>
    <t>*G8R1-nt + B7</t>
  </si>
  <si>
    <t>/5Biosg/AAA AAA AAA GTC GCG TGT ATT ATC TGG GTT CTG CTA ACC CTC TGT GGG AGA CGA ATC TCC CTA TAG TGA GTC G</t>
  </si>
  <si>
    <t>CAG AGG GTT AGC AGA ACC CAG ATA ATA CGA CTC ACT ATA GGG AGA TTC GTC TCC CAT GCA CGC CAA ACC GTG GCG ACG TAA TAG AGC TGG ATT TTT TTT T/3Bio/</t>
  </si>
  <si>
    <t>*G1S10-nt + B7</t>
  </si>
  <si>
    <t>*G1D1-nt + B7</t>
  </si>
  <si>
    <t>D1-t + B7</t>
  </si>
  <si>
    <t>S10-t + B7</t>
  </si>
  <si>
    <t>/5Biosg/AAA AAA AAA TGA TGT TGT GAA GTG AAA GTA GTG GGA GAC GAA TCT CCC TAT AGT GAG TCG</t>
  </si>
  <si>
    <t>/5Biosg/AAA AAA AAA ATC CAT CAC TTC ATA CTC TAC TGG GAG ACG AAT CTC CCT ATA GTG AGT CG</t>
  </si>
  <si>
    <t>TGC ACG CCA AAC CGT GGC GAC GTA ATA CGA CTC ACT ATA GGG AGA TTC GTC TCC CAC TAC TTT CAC TTC ACA ACA TCA TTT TTT TTT /3Bio/</t>
  </si>
  <si>
    <t>TGC ACG CCA AAC CGT GGC GAC GTA ATA CGA CTC ACT ATA GGG AGA TTC GTC TCC CAG TAG AGT ATG AAG TGA TGG ATT TTT TTT TT/3Bio/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</si>
</sst>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xf>
    <xf numFmtId="0" fontId="1" fillId="0" borderId="0" xfId="0" applyFont="1"/>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17" fontId="0" fillId="0" borderId="0" xfId="0" applyNumberFormat="1" applyAlignment="1">
      <alignment horizontal="left"/>
    </xf>
    <xf numFmtId="14" fontId="0" fillId="0" borderId="0" xfId="0" applyNumberFormat="1" applyAlignment="1">
      <alignment horizontal="left"/>
    </xf>
    <xf numFmtId="0" fontId="0" fillId="0" borderId="0" xfId="0" applyAlignment="1">
      <alignment horizontal="left" wrapText="1"/>
    </xf>
  </cellXfs>
  <cellStyles count="1">
    <cellStyle name="Normal" xfId="0" builtinId="0"/>
  </cellStyles>
  <dxfs count="68">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7F303-3017-4DFD-AB9E-E80E9553DBF9}">
  <sheetPr codeName="Sheet1"/>
  <dimension ref="A1:J101"/>
  <sheetViews>
    <sheetView zoomScale="90" zoomScaleNormal="90" workbookViewId="0">
      <selection activeCell="D2" sqref="D2"/>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ol min="7" max="7" width="20.7109375" style="5"/>
    <col min="8" max="8" width="20.7109375" style="1"/>
    <col min="9" max="9" width="20.7109375" style="7"/>
    <col min="10" max="16384" width="20.7109375" style="1"/>
  </cols>
  <sheetData>
    <row r="1" spans="1:10" x14ac:dyDescent="0.25">
      <c r="I1" s="1"/>
    </row>
    <row r="2" spans="1:10" s="4" customFormat="1" x14ac:dyDescent="0.25">
      <c r="A2" s="3" t="s">
        <v>1</v>
      </c>
      <c r="B2" s="3" t="s">
        <v>90</v>
      </c>
      <c r="C2" s="3" t="s">
        <v>91</v>
      </c>
      <c r="D2" s="3" t="s">
        <v>476</v>
      </c>
      <c r="E2" s="3" t="s">
        <v>0</v>
      </c>
      <c r="F2" s="3" t="s">
        <v>2</v>
      </c>
      <c r="G2" s="3" t="s">
        <v>3</v>
      </c>
      <c r="H2" s="3" t="s">
        <v>37</v>
      </c>
      <c r="I2" s="3" t="s">
        <v>236</v>
      </c>
      <c r="J2" s="3"/>
    </row>
    <row r="3" spans="1:10" x14ac:dyDescent="0.25">
      <c r="A3" t="s">
        <v>304</v>
      </c>
      <c r="B3" s="1">
        <f>AVERAGE(69.733,70.163)</f>
        <v>69.948000000000008</v>
      </c>
      <c r="C3" s="1">
        <f>B3/G3*1000000</f>
        <v>86.913518886679938</v>
      </c>
      <c r="D3" s="1" t="str">
        <f>IF(ISERROR(FIND("/",E3)), "No", "Yes")</f>
        <v>No</v>
      </c>
      <c r="E3" s="1" t="s">
        <v>310</v>
      </c>
      <c r="F3" s="8" t="s">
        <v>6</v>
      </c>
      <c r="G3" s="5">
        <v>804800</v>
      </c>
      <c r="H3" s="1" t="s">
        <v>38</v>
      </c>
      <c r="I3" s="7">
        <v>45364</v>
      </c>
    </row>
    <row r="4" spans="1:10" ht="15" customHeight="1" x14ac:dyDescent="0.25">
      <c r="A4" t="s">
        <v>305</v>
      </c>
      <c r="B4" s="1">
        <f>AVERAGE(23.702,24.312)</f>
        <v>24.007000000000001</v>
      </c>
      <c r="C4" s="1">
        <f>B4/G4*1000000</f>
        <v>98.834911486208327</v>
      </c>
      <c r="D4" s="1" t="str">
        <f>IF(ISERROR(FIND("/",E4)), "No", "Yes")</f>
        <v>No</v>
      </c>
      <c r="E4" s="1" t="s">
        <v>311</v>
      </c>
      <c r="F4" t="s">
        <v>6</v>
      </c>
      <c r="G4" s="5">
        <v>242900</v>
      </c>
      <c r="H4" s="1" t="s">
        <v>38</v>
      </c>
      <c r="I4" s="7">
        <v>45364</v>
      </c>
    </row>
    <row r="5" spans="1:10" x14ac:dyDescent="0.25">
      <c r="A5" t="s">
        <v>316</v>
      </c>
      <c r="C5" s="1">
        <f>B5/G5*1000000</f>
        <v>0</v>
      </c>
      <c r="D5" s="1" t="str">
        <f>IF(ISERROR(FIND("/",E5)), "No", "Yes")</f>
        <v>Yes</v>
      </c>
      <c r="E5" s="1" t="s">
        <v>317</v>
      </c>
      <c r="F5" s="1" t="s">
        <v>6</v>
      </c>
      <c r="G5" s="5">
        <v>815500</v>
      </c>
      <c r="H5" s="1" t="s">
        <v>38</v>
      </c>
    </row>
    <row r="10" spans="1:10" x14ac:dyDescent="0.25">
      <c r="F10"/>
    </row>
    <row r="11" spans="1:10" x14ac:dyDescent="0.25">
      <c r="F11"/>
    </row>
    <row r="12" spans="1:10" x14ac:dyDescent="0.25">
      <c r="F12"/>
    </row>
    <row r="13" spans="1:10" x14ac:dyDescent="0.25">
      <c r="F13"/>
    </row>
    <row r="14" spans="1:10" x14ac:dyDescent="0.25">
      <c r="F14"/>
    </row>
    <row r="15" spans="1:10" x14ac:dyDescent="0.25">
      <c r="F15"/>
    </row>
    <row r="16" spans="1:10" x14ac:dyDescent="0.25">
      <c r="F16"/>
    </row>
    <row r="35" spans="5:5" x14ac:dyDescent="0.25">
      <c r="E35"/>
    </row>
    <row r="78" spans="5:5" x14ac:dyDescent="0.25">
      <c r="E78"/>
    </row>
    <row r="101" spans="5:5" x14ac:dyDescent="0.25">
      <c r="E101"/>
    </row>
  </sheetData>
  <conditionalFormatting sqref="C11 C13 C16:C22 C33 C35 C40:C41 C45 C75 C78 C83 C85:C86 C88 C90:C94 C100:C101 C103:C117 C120:C1048576 C1:C5">
    <cfRule type="colorScale" priority="4">
      <colorScale>
        <cfvo type="num" val="50"/>
        <cfvo type="num" val="100"/>
        <cfvo type="num" val="200"/>
        <color theme="5" tint="-0.249977111117893"/>
        <color theme="0"/>
        <color theme="4" tint="-0.249977111117893"/>
      </colorScale>
    </cfRule>
  </conditionalFormatting>
  <conditionalFormatting sqref="D3:D5 H3:H5 D11 H11 D13 H13 D16:D22 H16:H22 D33 H33 D35 H35 D40:D41 H40:H41 D45 H45 D75 H75 D78 H78 D83 H83 D85:D86 H85:H86 D88 H88 D90:D94 H90:H94 D100:D101 H100:H101 D103 H103">
    <cfRule type="expression" dxfId="67" priority="3">
      <formula>FIND("Yes", D3)</formula>
    </cfRule>
    <cfRule type="expression" dxfId="66" priority="5">
      <formula>FIND("No", D3)</formula>
    </cfRule>
  </conditionalFormatting>
  <conditionalFormatting sqref="D120">
    <cfRule type="expression" dxfId="65" priority="1">
      <formula>FIND("Yes", D120)</formula>
    </cfRule>
    <cfRule type="expression" dxfId="64" priority="2">
      <formula>FIND("No", D120)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D5326-3560-4D53-9029-343129640D14}">
  <sheetPr codeName="Sheet2"/>
  <dimension ref="A2:J140"/>
  <sheetViews>
    <sheetView zoomScaleNormal="100" workbookViewId="0">
      <selection activeCell="B54" sqref="B54"/>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ol min="7" max="7" width="20.7109375" style="5"/>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s="1" t="s">
        <v>68</v>
      </c>
      <c r="B3" s="1">
        <f>AVERAGE(54.391,53.426)</f>
        <v>53.908500000000004</v>
      </c>
      <c r="C3" s="1">
        <f>B3/G3*1000000</f>
        <v>75.133797909407662</v>
      </c>
      <c r="D3" s="1" t="str">
        <f>IF(ISERROR(FIND("/",E3)), "No", "Yes")</f>
        <v>Yes</v>
      </c>
      <c r="E3" t="s">
        <v>10</v>
      </c>
      <c r="F3" s="1" t="s">
        <v>6</v>
      </c>
      <c r="G3" s="5">
        <v>717500</v>
      </c>
      <c r="H3" s="1" t="s">
        <v>38</v>
      </c>
    </row>
    <row r="4" spans="1:10" x14ac:dyDescent="0.25">
      <c r="A4" t="s">
        <v>12</v>
      </c>
      <c r="B4" s="1">
        <v>55.353999999999999</v>
      </c>
      <c r="C4" s="1">
        <f t="shared" ref="C4:C20" si="0">B4/G4*1000000</f>
        <v>82.396546591247386</v>
      </c>
      <c r="D4" s="1" t="str">
        <f t="shared" ref="D4:D20" si="1">IF(ISERROR(FIND("/",E4)), "No", "Yes")</f>
        <v>No</v>
      </c>
      <c r="E4" t="s">
        <v>24</v>
      </c>
      <c r="F4" s="1" t="s">
        <v>6</v>
      </c>
      <c r="G4" s="5">
        <v>671800</v>
      </c>
      <c r="H4" s="1" t="s">
        <v>38</v>
      </c>
    </row>
    <row r="5" spans="1:10" x14ac:dyDescent="0.25">
      <c r="A5" t="s">
        <v>17</v>
      </c>
      <c r="B5" s="1">
        <v>48.116999999999997</v>
      </c>
      <c r="C5" s="1">
        <f t="shared" si="0"/>
        <v>79.862240663900408</v>
      </c>
      <c r="D5" s="1" t="str">
        <f t="shared" si="1"/>
        <v>No</v>
      </c>
      <c r="E5" t="s">
        <v>31</v>
      </c>
      <c r="F5" t="s">
        <v>6</v>
      </c>
      <c r="G5" s="5">
        <v>602500</v>
      </c>
      <c r="H5" s="1" t="s">
        <v>38</v>
      </c>
    </row>
    <row r="6" spans="1:10" x14ac:dyDescent="0.25">
      <c r="A6" t="s">
        <v>18</v>
      </c>
      <c r="B6" s="1">
        <v>34.106999999999999</v>
      </c>
      <c r="C6" s="1">
        <f t="shared" si="0"/>
        <v>91.710137133638085</v>
      </c>
      <c r="D6" s="1" t="str">
        <f t="shared" si="1"/>
        <v>No</v>
      </c>
      <c r="E6" t="s">
        <v>32</v>
      </c>
      <c r="F6" t="s">
        <v>6</v>
      </c>
      <c r="G6" s="5">
        <v>371900</v>
      </c>
      <c r="H6" s="1" t="s">
        <v>38</v>
      </c>
    </row>
    <row r="7" spans="1:10" x14ac:dyDescent="0.25">
      <c r="A7" t="s">
        <v>20</v>
      </c>
      <c r="B7" s="1">
        <v>28.420999999999999</v>
      </c>
      <c r="C7" s="1">
        <f t="shared" si="0"/>
        <v>81.599196095320124</v>
      </c>
      <c r="D7" s="1" t="str">
        <f t="shared" si="1"/>
        <v>No</v>
      </c>
      <c r="E7" t="s">
        <v>34</v>
      </c>
      <c r="F7" t="s">
        <v>6</v>
      </c>
      <c r="G7" s="5">
        <v>348300</v>
      </c>
      <c r="H7" s="1" t="s">
        <v>38</v>
      </c>
    </row>
    <row r="8" spans="1:10" x14ac:dyDescent="0.25">
      <c r="A8" t="s">
        <v>21</v>
      </c>
      <c r="B8" s="1">
        <v>31.576000000000001</v>
      </c>
      <c r="C8" s="1">
        <f t="shared" si="0"/>
        <v>87.104765162507647</v>
      </c>
      <c r="D8" s="1" t="str">
        <f t="shared" si="1"/>
        <v>Yes</v>
      </c>
      <c r="E8" t="s">
        <v>35</v>
      </c>
      <c r="F8" t="s">
        <v>6</v>
      </c>
      <c r="G8" s="5">
        <v>362506</v>
      </c>
      <c r="H8" s="1" t="s">
        <v>38</v>
      </c>
    </row>
    <row r="9" spans="1:10" x14ac:dyDescent="0.25">
      <c r="A9" t="s">
        <v>75</v>
      </c>
      <c r="B9" s="1">
        <v>50.42</v>
      </c>
      <c r="C9" s="1">
        <f t="shared" si="0"/>
        <v>98.534297439906197</v>
      </c>
      <c r="D9" s="1" t="str">
        <f t="shared" si="1"/>
        <v>No</v>
      </c>
      <c r="E9" s="1" t="s">
        <v>80</v>
      </c>
      <c r="F9" t="s">
        <v>6</v>
      </c>
      <c r="G9" s="5">
        <v>511700</v>
      </c>
      <c r="H9" s="1" t="s">
        <v>38</v>
      </c>
    </row>
    <row r="10" spans="1:10" x14ac:dyDescent="0.25">
      <c r="A10" t="s">
        <v>93</v>
      </c>
      <c r="B10" s="1">
        <v>45.353000000000002</v>
      </c>
      <c r="C10" s="1">
        <f t="shared" si="0"/>
        <v>83.476900423338861</v>
      </c>
      <c r="D10" s="1" t="str">
        <f t="shared" si="1"/>
        <v>Yes</v>
      </c>
      <c r="E10" s="1" t="s">
        <v>82</v>
      </c>
      <c r="F10" t="s">
        <v>6</v>
      </c>
      <c r="G10" s="5">
        <v>543300</v>
      </c>
      <c r="H10" s="1" t="s">
        <v>38</v>
      </c>
    </row>
    <row r="11" spans="1:10" x14ac:dyDescent="0.25">
      <c r="A11" t="s">
        <v>77</v>
      </c>
      <c r="B11" s="1">
        <v>79.561000000000007</v>
      </c>
      <c r="C11" s="1">
        <f t="shared" si="0"/>
        <v>93.119147940074924</v>
      </c>
      <c r="D11" s="1" t="str">
        <f t="shared" si="1"/>
        <v>No</v>
      </c>
      <c r="E11" s="1" t="s">
        <v>83</v>
      </c>
      <c r="F11" t="s">
        <v>36</v>
      </c>
      <c r="G11" s="5">
        <v>854400</v>
      </c>
      <c r="H11" s="1" t="s">
        <v>38</v>
      </c>
    </row>
    <row r="12" spans="1:10" x14ac:dyDescent="0.25">
      <c r="A12" s="1" t="s">
        <v>67</v>
      </c>
      <c r="B12" s="1">
        <f>AVERAGE(71.193,74.852)</f>
        <v>73.022500000000008</v>
      </c>
      <c r="C12" s="1">
        <f t="shared" si="0"/>
        <v>84.536351007177586</v>
      </c>
      <c r="D12" s="1" t="str">
        <f t="shared" si="1"/>
        <v>Yes</v>
      </c>
      <c r="E12" s="1" t="s">
        <v>40</v>
      </c>
      <c r="F12" t="s">
        <v>6</v>
      </c>
      <c r="G12" s="5">
        <v>863800</v>
      </c>
      <c r="H12" s="1" t="s">
        <v>38</v>
      </c>
    </row>
    <row r="13" spans="1:10" x14ac:dyDescent="0.25">
      <c r="A13" s="1" t="s">
        <v>66</v>
      </c>
      <c r="B13" s="1">
        <f>AVERAGE(70.262,67.569)</f>
        <v>68.915500000000009</v>
      </c>
      <c r="C13" s="1">
        <f t="shared" si="0"/>
        <v>83.221229320130419</v>
      </c>
      <c r="D13" s="1" t="str">
        <f t="shared" si="1"/>
        <v>No</v>
      </c>
      <c r="E13" s="1" t="s">
        <v>42</v>
      </c>
      <c r="F13" t="s">
        <v>6</v>
      </c>
      <c r="G13" s="5">
        <v>828100</v>
      </c>
      <c r="H13" s="1" t="s">
        <v>38</v>
      </c>
    </row>
    <row r="14" spans="1:10" x14ac:dyDescent="0.25">
      <c r="A14" s="1" t="s">
        <v>55</v>
      </c>
      <c r="B14" s="1">
        <f>AVERAGE(78.309,77.212)</f>
        <v>77.760500000000008</v>
      </c>
      <c r="C14" s="1">
        <f t="shared" si="0"/>
        <v>83.291023993144819</v>
      </c>
      <c r="D14" s="1" t="str">
        <f t="shared" si="1"/>
        <v>No</v>
      </c>
      <c r="E14" s="1" t="s">
        <v>45</v>
      </c>
      <c r="F14" t="s">
        <v>6</v>
      </c>
      <c r="G14" s="5">
        <v>933600</v>
      </c>
      <c r="H14" s="1" t="s">
        <v>38</v>
      </c>
    </row>
    <row r="15" spans="1:10" x14ac:dyDescent="0.25">
      <c r="A15" s="1" t="s">
        <v>56</v>
      </c>
      <c r="B15" s="1">
        <f>AVERAGE(73.634,73.793)</f>
        <v>73.71350000000001</v>
      </c>
      <c r="C15" s="1">
        <f t="shared" si="0"/>
        <v>82.040623260990557</v>
      </c>
      <c r="D15" s="1" t="str">
        <f t="shared" si="1"/>
        <v>No</v>
      </c>
      <c r="E15" s="1" t="s">
        <v>46</v>
      </c>
      <c r="F15" t="s">
        <v>6</v>
      </c>
      <c r="G15" s="5">
        <v>898500</v>
      </c>
      <c r="H15" s="1" t="s">
        <v>38</v>
      </c>
    </row>
    <row r="16" spans="1:10" x14ac:dyDescent="0.25">
      <c r="A16" s="1" t="s">
        <v>72</v>
      </c>
      <c r="B16" s="1">
        <f>AVERAGE(79.277,77.701, 76.853)</f>
        <v>77.943666666666672</v>
      </c>
      <c r="C16" s="1">
        <f t="shared" si="0"/>
        <v>85.54897010939159</v>
      </c>
      <c r="D16" s="1" t="str">
        <f t="shared" si="1"/>
        <v>Yes</v>
      </c>
      <c r="E16" s="1" t="s">
        <v>47</v>
      </c>
      <c r="F16" t="s">
        <v>6</v>
      </c>
      <c r="G16" s="5">
        <v>911100</v>
      </c>
      <c r="H16" s="1" t="s">
        <v>38</v>
      </c>
    </row>
    <row r="17" spans="1:9" x14ac:dyDescent="0.25">
      <c r="A17" s="1" t="s">
        <v>9</v>
      </c>
      <c r="B17" s="1">
        <f>AVERAGE(58.949,59.532,59.063)</f>
        <v>59.181333333333328</v>
      </c>
      <c r="C17" s="1">
        <f t="shared" si="0"/>
        <v>83.049864346524458</v>
      </c>
      <c r="D17" s="1" t="str">
        <f t="shared" si="1"/>
        <v>No</v>
      </c>
      <c r="E17" s="1" t="s">
        <v>112</v>
      </c>
      <c r="F17" s="1" t="s">
        <v>6</v>
      </c>
      <c r="G17" s="5">
        <v>712600</v>
      </c>
      <c r="H17" s="1" t="s">
        <v>38</v>
      </c>
    </row>
    <row r="18" spans="1:9" x14ac:dyDescent="0.25">
      <c r="A18" s="1" t="s">
        <v>127</v>
      </c>
      <c r="B18" s="1">
        <f>AVERAGE(32.893,33.995)</f>
        <v>33.444000000000003</v>
      </c>
      <c r="C18" s="1">
        <f t="shared" si="0"/>
        <v>97.249200348938658</v>
      </c>
      <c r="D18" s="1" t="str">
        <f t="shared" si="1"/>
        <v>No</v>
      </c>
      <c r="E18" s="1" t="s">
        <v>130</v>
      </c>
      <c r="F18" s="1" t="s">
        <v>6</v>
      </c>
      <c r="G18" s="5">
        <v>343900</v>
      </c>
      <c r="H18" s="1" t="s">
        <v>38</v>
      </c>
    </row>
    <row r="19" spans="1:9" x14ac:dyDescent="0.25">
      <c r="A19" s="1" t="s">
        <v>157</v>
      </c>
      <c r="B19" s="1">
        <f>AVERAGE(78.395,78.343)</f>
        <v>78.369</v>
      </c>
      <c r="C19" s="1">
        <f t="shared" si="0"/>
        <v>79.433407662679912</v>
      </c>
      <c r="D19" s="1" t="str">
        <f t="shared" si="1"/>
        <v>No</v>
      </c>
      <c r="E19" s="1" t="s">
        <v>137</v>
      </c>
      <c r="F19" s="1" t="s">
        <v>6</v>
      </c>
      <c r="G19" s="5">
        <v>986600</v>
      </c>
      <c r="H19" s="1" t="s">
        <v>38</v>
      </c>
    </row>
    <row r="20" spans="1:9" x14ac:dyDescent="0.25">
      <c r="A20" s="1" t="s">
        <v>231</v>
      </c>
      <c r="B20" s="1">
        <f>AVERAGE(26.423,26.58)</f>
        <v>26.5015</v>
      </c>
      <c r="C20" s="1">
        <f t="shared" si="0"/>
        <v>83.338050314465406</v>
      </c>
      <c r="D20" s="1" t="str">
        <f t="shared" si="1"/>
        <v>No</v>
      </c>
      <c r="E20" s="1" t="s">
        <v>190</v>
      </c>
      <c r="F20" s="1" t="s">
        <v>96</v>
      </c>
      <c r="G20" s="5">
        <v>318000</v>
      </c>
      <c r="H20" s="1" t="s">
        <v>38</v>
      </c>
    </row>
    <row r="21" spans="1:9" x14ac:dyDescent="0.25">
      <c r="A21" s="1" t="s">
        <v>205</v>
      </c>
      <c r="B21" s="1">
        <v>55.478999999999999</v>
      </c>
      <c r="C21" s="1">
        <f t="shared" ref="C21:C51" si="2">B21/G21*1000000</f>
        <v>60.016226741670266</v>
      </c>
      <c r="D21" s="1" t="str">
        <f t="shared" ref="D21:D51" si="3">IF(ISERROR(FIND("/",E21)), "No", "Yes")</f>
        <v>No</v>
      </c>
      <c r="E21" t="s">
        <v>202</v>
      </c>
      <c r="F21" s="1" t="s">
        <v>6</v>
      </c>
      <c r="G21" s="5">
        <v>924400</v>
      </c>
      <c r="H21" s="1" t="s">
        <v>38</v>
      </c>
    </row>
    <row r="22" spans="1:9" x14ac:dyDescent="0.25">
      <c r="A22" s="1" t="s">
        <v>214</v>
      </c>
      <c r="B22" s="1">
        <f>AVERAGE(42.67,43.71,42.805)</f>
        <v>43.061666666666667</v>
      </c>
      <c r="C22" s="1">
        <f t="shared" si="2"/>
        <v>100.7761915906077</v>
      </c>
      <c r="D22" s="1" t="str">
        <f t="shared" si="3"/>
        <v>No</v>
      </c>
      <c r="E22" s="1" t="s">
        <v>218</v>
      </c>
      <c r="F22" s="1" t="s">
        <v>6</v>
      </c>
      <c r="G22" s="5">
        <v>427300</v>
      </c>
      <c r="H22" s="1" t="s">
        <v>38</v>
      </c>
    </row>
    <row r="23" spans="1:9" x14ac:dyDescent="0.25">
      <c r="A23" s="1" t="s">
        <v>216</v>
      </c>
      <c r="B23" s="1">
        <f>AVERAGE(65.882,64.607)</f>
        <v>65.244500000000002</v>
      </c>
      <c r="C23" s="1">
        <f t="shared" si="2"/>
        <v>89.720159515951593</v>
      </c>
      <c r="D23" s="1" t="str">
        <f t="shared" si="3"/>
        <v>No</v>
      </c>
      <c r="E23" s="1" t="s">
        <v>220</v>
      </c>
      <c r="F23" s="1" t="s">
        <v>6</v>
      </c>
      <c r="G23" s="5">
        <v>727200</v>
      </c>
      <c r="H23" s="1" t="s">
        <v>38</v>
      </c>
    </row>
    <row r="24" spans="1:9" x14ac:dyDescent="0.25">
      <c r="A24" s="1" t="s">
        <v>217</v>
      </c>
      <c r="B24" s="1">
        <f>AVERAGE(65.584,66.323)</f>
        <v>65.953499999999991</v>
      </c>
      <c r="C24" s="1">
        <f t="shared" si="2"/>
        <v>86.723865877712029</v>
      </c>
      <c r="D24" s="1" t="str">
        <f t="shared" si="3"/>
        <v>No</v>
      </c>
      <c r="E24" s="1" t="s">
        <v>221</v>
      </c>
      <c r="F24" s="1" t="s">
        <v>6</v>
      </c>
      <c r="G24" s="5">
        <v>760500</v>
      </c>
      <c r="H24" s="1" t="s">
        <v>38</v>
      </c>
    </row>
    <row r="25" spans="1:9" x14ac:dyDescent="0.25">
      <c r="A25" s="1" t="s">
        <v>230</v>
      </c>
      <c r="B25" s="1">
        <f>AVERAGE(29.529,29.22)</f>
        <v>29.374499999999998</v>
      </c>
      <c r="C25" s="1">
        <f t="shared" si="2"/>
        <v>92.372641509433961</v>
      </c>
      <c r="D25" s="1" t="str">
        <f t="shared" si="3"/>
        <v>No</v>
      </c>
      <c r="E25" s="1" t="s">
        <v>190</v>
      </c>
      <c r="F25" s="1" t="s">
        <v>6</v>
      </c>
      <c r="G25" s="5">
        <v>318000</v>
      </c>
      <c r="H25" s="1" t="s">
        <v>38</v>
      </c>
    </row>
    <row r="26" spans="1:9" x14ac:dyDescent="0.25">
      <c r="A26" s="1" t="s">
        <v>234</v>
      </c>
      <c r="B26" s="1">
        <f>AVERAGE(66.732,66.703)</f>
        <v>66.717500000000001</v>
      </c>
      <c r="C26" s="1">
        <f t="shared" si="2"/>
        <v>84.95797784286259</v>
      </c>
      <c r="D26" s="1" t="str">
        <f t="shared" si="3"/>
        <v>No</v>
      </c>
      <c r="E26" s="1" t="s">
        <v>232</v>
      </c>
      <c r="F26" s="1" t="s">
        <v>6</v>
      </c>
      <c r="G26" s="5">
        <v>785300</v>
      </c>
      <c r="H26" s="1" t="s">
        <v>38</v>
      </c>
    </row>
    <row r="27" spans="1:9" x14ac:dyDescent="0.25">
      <c r="A27" s="1" t="s">
        <v>235</v>
      </c>
      <c r="B27" s="1">
        <f>AVERAGE(67.465,66.68,67.799)</f>
        <v>67.314666666666668</v>
      </c>
      <c r="C27" s="1">
        <f t="shared" si="2"/>
        <v>83.423803032180786</v>
      </c>
      <c r="D27" s="1" t="str">
        <f t="shared" si="3"/>
        <v>No</v>
      </c>
      <c r="E27" s="1" t="s">
        <v>233</v>
      </c>
      <c r="F27" s="1" t="s">
        <v>6</v>
      </c>
      <c r="G27" s="5">
        <v>806900</v>
      </c>
      <c r="H27" s="1" t="s">
        <v>38</v>
      </c>
    </row>
    <row r="28" spans="1:9" x14ac:dyDescent="0.25">
      <c r="A28" s="1" t="s">
        <v>243</v>
      </c>
      <c r="B28" s="1">
        <f>AVERAGE(62.407, 60.92)</f>
        <v>61.663499999999999</v>
      </c>
      <c r="C28" s="1">
        <f>B28/G28*1000000</f>
        <v>87.727272727272734</v>
      </c>
      <c r="D28" s="1" t="str">
        <f t="shared" si="3"/>
        <v>No</v>
      </c>
      <c r="E28" s="1" t="s">
        <v>246</v>
      </c>
      <c r="F28" s="1" t="s">
        <v>6</v>
      </c>
      <c r="G28" s="5">
        <v>702900</v>
      </c>
      <c r="H28" s="1" t="s">
        <v>38</v>
      </c>
    </row>
    <row r="29" spans="1:9" x14ac:dyDescent="0.25">
      <c r="A29" s="1" t="s">
        <v>241</v>
      </c>
      <c r="B29" s="1">
        <f>AVERAGE(31.77,31.661)</f>
        <v>31.715499999999999</v>
      </c>
      <c r="C29" s="1">
        <f t="shared" si="2"/>
        <v>99.51521807342327</v>
      </c>
      <c r="D29" s="1" t="str">
        <f t="shared" si="3"/>
        <v>No</v>
      </c>
      <c r="E29" s="1" t="s">
        <v>256</v>
      </c>
      <c r="F29" s="1" t="s">
        <v>6</v>
      </c>
      <c r="G29" s="5">
        <v>318700</v>
      </c>
      <c r="H29" s="1" t="s">
        <v>38</v>
      </c>
      <c r="I29" s="6">
        <v>45222</v>
      </c>
    </row>
    <row r="30" spans="1:9" x14ac:dyDescent="0.25">
      <c r="A30" s="1" t="s">
        <v>242</v>
      </c>
      <c r="B30" s="1">
        <f>AVERAGE(66.19,65.728)</f>
        <v>65.959000000000003</v>
      </c>
      <c r="C30" s="1">
        <f t="shared" si="2"/>
        <v>92.496143598373308</v>
      </c>
      <c r="D30" s="1" t="str">
        <f t="shared" si="3"/>
        <v>No</v>
      </c>
      <c r="E30" t="s">
        <v>255</v>
      </c>
      <c r="F30" s="1" t="s">
        <v>6</v>
      </c>
      <c r="G30" s="5">
        <v>713100</v>
      </c>
      <c r="H30" s="1" t="s">
        <v>38</v>
      </c>
      <c r="I30" s="6">
        <v>45222</v>
      </c>
    </row>
    <row r="31" spans="1:9" x14ac:dyDescent="0.25">
      <c r="A31" s="1" t="s">
        <v>259</v>
      </c>
      <c r="B31" s="1">
        <f>AVERAGE(70.875,70.011)</f>
        <v>70.442999999999998</v>
      </c>
      <c r="C31" s="1">
        <f t="shared" si="2"/>
        <v>98.742640874684611</v>
      </c>
      <c r="D31" s="1" t="str">
        <f t="shared" si="3"/>
        <v>No</v>
      </c>
      <c r="E31" s="1" t="s">
        <v>260</v>
      </c>
      <c r="F31" s="1" t="s">
        <v>6</v>
      </c>
      <c r="G31" s="5">
        <v>713400</v>
      </c>
      <c r="H31" s="1" t="s">
        <v>38</v>
      </c>
      <c r="I31" s="6">
        <v>45257</v>
      </c>
    </row>
    <row r="32" spans="1:9" x14ac:dyDescent="0.25">
      <c r="A32" s="1" t="s">
        <v>257</v>
      </c>
      <c r="B32" s="1">
        <v>72.805000000000007</v>
      </c>
      <c r="C32" s="1">
        <f t="shared" si="2"/>
        <v>77.452127659574472</v>
      </c>
      <c r="D32" s="1" t="str">
        <f t="shared" si="3"/>
        <v>No</v>
      </c>
      <c r="E32" s="1" t="s">
        <v>258</v>
      </c>
      <c r="F32" s="1" t="s">
        <v>6</v>
      </c>
      <c r="G32" s="5">
        <v>940000</v>
      </c>
      <c r="H32" s="1" t="s">
        <v>38</v>
      </c>
      <c r="I32" s="6">
        <v>45198</v>
      </c>
    </row>
    <row r="33" spans="1:9" x14ac:dyDescent="0.25">
      <c r="A33" s="1" t="s">
        <v>413</v>
      </c>
      <c r="B33" s="1">
        <f>AVERAGE(64.67,65.067)</f>
        <v>64.868499999999997</v>
      </c>
      <c r="C33" s="1">
        <f t="shared" si="2"/>
        <v>91.248417498944988</v>
      </c>
      <c r="D33" s="1" t="str">
        <f t="shared" si="3"/>
        <v>No</v>
      </c>
      <c r="E33" s="1" t="s">
        <v>418</v>
      </c>
      <c r="F33" s="1" t="s">
        <v>6</v>
      </c>
      <c r="G33" s="5">
        <v>710900</v>
      </c>
      <c r="H33" s="1" t="s">
        <v>38</v>
      </c>
      <c r="I33" s="7">
        <v>45408</v>
      </c>
    </row>
    <row r="34" spans="1:9" x14ac:dyDescent="0.25">
      <c r="A34" s="1" t="s">
        <v>414</v>
      </c>
      <c r="B34" s="1">
        <f>AVERAGE(33.093,33.068)</f>
        <v>33.080500000000001</v>
      </c>
      <c r="C34" s="1">
        <f t="shared" si="2"/>
        <v>102.76638707673192</v>
      </c>
      <c r="D34" s="1" t="str">
        <f t="shared" si="3"/>
        <v>No</v>
      </c>
      <c r="E34" s="1" t="s">
        <v>419</v>
      </c>
      <c r="F34" s="1" t="s">
        <v>6</v>
      </c>
      <c r="G34" s="5">
        <v>321900</v>
      </c>
      <c r="H34" s="1" t="s">
        <v>38</v>
      </c>
      <c r="I34" s="7">
        <v>45408</v>
      </c>
    </row>
    <row r="35" spans="1:9" x14ac:dyDescent="0.25">
      <c r="A35" s="1" t="s">
        <v>415</v>
      </c>
      <c r="B35" s="1">
        <f>AVERAGE(37.822,37.912)</f>
        <v>37.867000000000004</v>
      </c>
      <c r="C35" s="1">
        <f t="shared" si="2"/>
        <v>100.76370409792443</v>
      </c>
      <c r="D35" s="1" t="str">
        <f t="shared" si="3"/>
        <v>No</v>
      </c>
      <c r="E35" s="1" t="s">
        <v>420</v>
      </c>
      <c r="F35" s="1" t="s">
        <v>6</v>
      </c>
      <c r="G35" s="5">
        <v>375800</v>
      </c>
      <c r="H35" s="1" t="s">
        <v>38</v>
      </c>
      <c r="I35" s="7">
        <v>45408</v>
      </c>
    </row>
    <row r="36" spans="1:9" x14ac:dyDescent="0.25">
      <c r="A36" s="1" t="s">
        <v>416</v>
      </c>
      <c r="B36" s="1">
        <f>AVERAGE(29.123,30.496)</f>
        <v>29.8095</v>
      </c>
      <c r="C36" s="1">
        <f t="shared" si="2"/>
        <v>87.111338398597312</v>
      </c>
      <c r="D36" s="1" t="str">
        <f t="shared" si="3"/>
        <v>No</v>
      </c>
      <c r="E36" s="1" t="s">
        <v>421</v>
      </c>
      <c r="F36" s="1" t="s">
        <v>96</v>
      </c>
      <c r="G36" s="5">
        <v>342200</v>
      </c>
      <c r="H36" s="1" t="s">
        <v>38</v>
      </c>
      <c r="I36" s="7">
        <v>45408</v>
      </c>
    </row>
    <row r="37" spans="1:9" x14ac:dyDescent="0.25">
      <c r="A37" s="1" t="s">
        <v>417</v>
      </c>
      <c r="B37" s="1">
        <f>AVERAGE(33.332,32.847)</f>
        <v>33.089500000000001</v>
      </c>
      <c r="C37" s="1">
        <f t="shared" si="2"/>
        <v>97.093603286384976</v>
      </c>
      <c r="D37" s="1" t="str">
        <f t="shared" si="3"/>
        <v>No</v>
      </c>
      <c r="E37" s="1" t="s">
        <v>422</v>
      </c>
      <c r="F37" s="1" t="s">
        <v>96</v>
      </c>
      <c r="G37" s="5">
        <v>340800</v>
      </c>
      <c r="H37" s="1" t="s">
        <v>38</v>
      </c>
      <c r="I37" s="7">
        <v>45408</v>
      </c>
    </row>
    <row r="38" spans="1:9" x14ac:dyDescent="0.25">
      <c r="A38" s="1" t="s">
        <v>480</v>
      </c>
      <c r="B38" s="1">
        <f>AVERAGE(72.676,75.403,71.837)</f>
        <v>73.305333333333337</v>
      </c>
      <c r="C38" s="1">
        <f t="shared" si="2"/>
        <v>83.329923079837826</v>
      </c>
      <c r="D38" s="1" t="str">
        <f t="shared" si="3"/>
        <v>No</v>
      </c>
      <c r="E38" s="1" t="s">
        <v>477</v>
      </c>
      <c r="F38" s="1" t="s">
        <v>6</v>
      </c>
      <c r="G38" s="5">
        <v>879700</v>
      </c>
      <c r="H38" s="1" t="s">
        <v>38</v>
      </c>
      <c r="I38" s="7">
        <v>45446</v>
      </c>
    </row>
    <row r="39" spans="1:9" x14ac:dyDescent="0.25">
      <c r="A39" s="1" t="s">
        <v>481</v>
      </c>
      <c r="B39" s="1">
        <f>AVERAGE(30.672,30.064)</f>
        <v>30.368000000000002</v>
      </c>
      <c r="C39" s="1">
        <f t="shared" si="2"/>
        <v>98.151260504201687</v>
      </c>
      <c r="D39" s="1" t="str">
        <f t="shared" si="3"/>
        <v>No</v>
      </c>
      <c r="E39" s="1" t="s">
        <v>478</v>
      </c>
      <c r="F39" s="1" t="s">
        <v>6</v>
      </c>
      <c r="G39" s="5">
        <v>309400</v>
      </c>
      <c r="H39" s="1" t="s">
        <v>38</v>
      </c>
      <c r="I39" s="7">
        <v>45446</v>
      </c>
    </row>
    <row r="40" spans="1:9" x14ac:dyDescent="0.25">
      <c r="A40" s="1" t="s">
        <v>482</v>
      </c>
      <c r="B40" s="1">
        <f>AVERAGE(31.983,32.087)</f>
        <v>32.035000000000004</v>
      </c>
      <c r="C40" s="1">
        <f t="shared" si="2"/>
        <v>89.233983286908085</v>
      </c>
      <c r="D40" s="1" t="str">
        <f t="shared" si="3"/>
        <v>No</v>
      </c>
      <c r="E40" s="1" t="s">
        <v>479</v>
      </c>
      <c r="F40" s="1" t="s">
        <v>6</v>
      </c>
      <c r="G40" s="5">
        <v>359000</v>
      </c>
      <c r="H40" s="1" t="s">
        <v>38</v>
      </c>
      <c r="I40" s="7">
        <v>45446</v>
      </c>
    </row>
    <row r="41" spans="1:9" x14ac:dyDescent="0.25">
      <c r="A41" s="1" t="s">
        <v>483</v>
      </c>
      <c r="B41" s="1">
        <f>AVERAGE(75.62,75.575)</f>
        <v>75.597499999999997</v>
      </c>
      <c r="C41" s="1">
        <f t="shared" si="2"/>
        <v>88.687822618488966</v>
      </c>
      <c r="D41" s="1" t="str">
        <f t="shared" si="3"/>
        <v>No</v>
      </c>
      <c r="E41" s="1" t="s">
        <v>486</v>
      </c>
      <c r="F41" s="1" t="s">
        <v>6</v>
      </c>
      <c r="G41" s="5">
        <v>852400</v>
      </c>
      <c r="H41" s="1" t="s">
        <v>38</v>
      </c>
      <c r="I41" s="7">
        <v>45446</v>
      </c>
    </row>
    <row r="42" spans="1:9" x14ac:dyDescent="0.25">
      <c r="A42" s="1" t="s">
        <v>484</v>
      </c>
      <c r="B42" s="1">
        <f>AVERAGE(36.974,36.119)</f>
        <v>36.546499999999995</v>
      </c>
      <c r="C42" s="1">
        <f t="shared" si="2"/>
        <v>100.37489700631693</v>
      </c>
      <c r="D42" s="1" t="str">
        <f t="shared" si="3"/>
        <v>No</v>
      </c>
      <c r="E42" s="1" t="s">
        <v>487</v>
      </c>
      <c r="F42" s="1" t="s">
        <v>6</v>
      </c>
      <c r="G42" s="5">
        <v>364100</v>
      </c>
      <c r="H42" s="1" t="s">
        <v>38</v>
      </c>
      <c r="I42" s="7">
        <v>45446</v>
      </c>
    </row>
    <row r="43" spans="1:9" x14ac:dyDescent="0.25">
      <c r="A43" s="1" t="s">
        <v>485</v>
      </c>
      <c r="B43" s="1">
        <f>AVERAGE(36.408,37.085)</f>
        <v>36.746499999999997</v>
      </c>
      <c r="C43" s="1">
        <f t="shared" si="2"/>
        <v>98.88724434876211</v>
      </c>
      <c r="D43" s="1" t="str">
        <f t="shared" si="3"/>
        <v>No</v>
      </c>
      <c r="E43" s="1" t="s">
        <v>488</v>
      </c>
      <c r="F43" s="1" t="s">
        <v>6</v>
      </c>
      <c r="G43" s="5">
        <v>371600</v>
      </c>
      <c r="H43" s="1" t="s">
        <v>38</v>
      </c>
      <c r="I43" s="7">
        <v>45446</v>
      </c>
    </row>
    <row r="44" spans="1:9" x14ac:dyDescent="0.25">
      <c r="A44" s="1" t="s">
        <v>585</v>
      </c>
      <c r="B44" s="1">
        <f>AVERAGE(81.88,81.838)</f>
        <v>81.858999999999995</v>
      </c>
      <c r="C44" s="1">
        <f t="shared" si="2"/>
        <v>136.59102286000333</v>
      </c>
      <c r="D44" s="1" t="str">
        <f t="shared" si="3"/>
        <v>Yes</v>
      </c>
      <c r="E44" s="1" t="s">
        <v>586</v>
      </c>
      <c r="F44" s="1" t="s">
        <v>36</v>
      </c>
      <c r="G44" s="5">
        <v>599300</v>
      </c>
      <c r="H44" s="1" t="s">
        <v>38</v>
      </c>
      <c r="I44" s="7">
        <v>45566</v>
      </c>
    </row>
    <row r="45" spans="1:9" x14ac:dyDescent="0.25">
      <c r="A45" s="1" t="s">
        <v>591</v>
      </c>
      <c r="B45" s="1">
        <f>AVERAGE(70.774,71.928)</f>
        <v>71.350999999999999</v>
      </c>
      <c r="C45" s="1">
        <f t="shared" si="2"/>
        <v>96.865327178930215</v>
      </c>
      <c r="D45" s="1" t="str">
        <f t="shared" si="3"/>
        <v>Yes</v>
      </c>
      <c r="E45" s="1" t="s">
        <v>592</v>
      </c>
      <c r="F45" s="1" t="s">
        <v>36</v>
      </c>
      <c r="G45" s="5">
        <v>736600</v>
      </c>
      <c r="H45" s="1" t="s">
        <v>38</v>
      </c>
      <c r="I45" s="7">
        <v>45566</v>
      </c>
    </row>
    <row r="46" spans="1:9" x14ac:dyDescent="0.25">
      <c r="A46" s="1" t="s">
        <v>636</v>
      </c>
      <c r="B46" s="1">
        <v>83.1</v>
      </c>
      <c r="C46" s="1">
        <f t="shared" si="2"/>
        <v>82.661891972545504</v>
      </c>
      <c r="D46" s="1" t="str">
        <f t="shared" si="3"/>
        <v>Yes</v>
      </c>
      <c r="E46" s="1" t="s">
        <v>637</v>
      </c>
      <c r="F46" s="1" t="s">
        <v>96</v>
      </c>
      <c r="G46" s="5">
        <v>1005300</v>
      </c>
      <c r="H46" s="1" t="s">
        <v>38</v>
      </c>
      <c r="I46" s="7">
        <v>45723</v>
      </c>
    </row>
    <row r="47" spans="1:9" x14ac:dyDescent="0.25">
      <c r="A47" s="1" t="s">
        <v>668</v>
      </c>
      <c r="B47" s="1">
        <f>AVERAGE(75.276,77.036)</f>
        <v>76.156000000000006</v>
      </c>
      <c r="C47" s="1">
        <f t="shared" si="2"/>
        <v>79.090248208536721</v>
      </c>
      <c r="D47" s="1" t="str">
        <f t="shared" si="3"/>
        <v>Yes</v>
      </c>
      <c r="E47" t="s">
        <v>671</v>
      </c>
      <c r="F47" s="1" t="s">
        <v>36</v>
      </c>
      <c r="G47" s="5">
        <v>962900</v>
      </c>
      <c r="H47" s="1" t="s">
        <v>38</v>
      </c>
      <c r="I47" s="7">
        <v>46063</v>
      </c>
    </row>
    <row r="48" spans="1:9" x14ac:dyDescent="0.25">
      <c r="A48" t="s">
        <v>669</v>
      </c>
      <c r="B48" s="1">
        <f>AVERAGE(77.201,77.9)</f>
        <v>77.5505</v>
      </c>
      <c r="C48" s="1">
        <f t="shared" si="2"/>
        <v>83.693611051154761</v>
      </c>
      <c r="D48" s="1" t="str">
        <f t="shared" si="3"/>
        <v>Yes</v>
      </c>
      <c r="E48" t="s">
        <v>672</v>
      </c>
      <c r="F48" s="1" t="s">
        <v>36</v>
      </c>
      <c r="G48" s="5">
        <v>926600</v>
      </c>
      <c r="H48" s="1" t="s">
        <v>38</v>
      </c>
      <c r="I48" s="7">
        <v>46063</v>
      </c>
    </row>
    <row r="49" spans="1:9" x14ac:dyDescent="0.25">
      <c r="A49" t="s">
        <v>670</v>
      </c>
      <c r="B49" s="1">
        <f>AVERAGE(76.794,78.193)</f>
        <v>77.493499999999997</v>
      </c>
      <c r="C49" s="1">
        <f t="shared" si="2"/>
        <v>80.270872177335818</v>
      </c>
      <c r="D49" s="1" t="str">
        <f t="shared" si="3"/>
        <v>Yes</v>
      </c>
      <c r="E49" t="s">
        <v>673</v>
      </c>
      <c r="F49" s="1" t="s">
        <v>36</v>
      </c>
      <c r="G49" s="5">
        <v>965400</v>
      </c>
      <c r="H49" s="1" t="s">
        <v>38</v>
      </c>
      <c r="I49" s="7">
        <v>46063</v>
      </c>
    </row>
    <row r="50" spans="1:9" x14ac:dyDescent="0.25">
      <c r="A50" t="s">
        <v>686</v>
      </c>
      <c r="B50" s="1">
        <f>AVERAGE(67.668,67.485)</f>
        <v>67.57650000000001</v>
      </c>
      <c r="C50" s="1">
        <f t="shared" si="2"/>
        <v>83.140378937007895</v>
      </c>
      <c r="D50" s="1" t="str">
        <f t="shared" si="3"/>
        <v>Yes</v>
      </c>
      <c r="E50" s="1" t="s">
        <v>692</v>
      </c>
      <c r="F50" s="1" t="s">
        <v>36</v>
      </c>
      <c r="G50" s="5">
        <v>812800</v>
      </c>
      <c r="H50" s="1" t="s">
        <v>38</v>
      </c>
      <c r="I50" s="7">
        <v>46063</v>
      </c>
    </row>
    <row r="51" spans="1:9" x14ac:dyDescent="0.25">
      <c r="A51" t="s">
        <v>687</v>
      </c>
      <c r="C51" s="1">
        <f t="shared" si="2"/>
        <v>0</v>
      </c>
      <c r="D51" s="1" t="str">
        <f t="shared" si="3"/>
        <v>Yes</v>
      </c>
      <c r="E51" s="1" t="s">
        <v>693</v>
      </c>
      <c r="F51" s="1" t="s">
        <v>36</v>
      </c>
      <c r="G51" s="5">
        <v>834500</v>
      </c>
      <c r="H51" s="1" t="s">
        <v>38</v>
      </c>
      <c r="I51" s="7">
        <v>46063</v>
      </c>
    </row>
    <row r="53" spans="1:9" x14ac:dyDescent="0.25">
      <c r="I53" s="6"/>
    </row>
    <row r="69" spans="5:9" x14ac:dyDescent="0.25">
      <c r="I69" s="6"/>
    </row>
    <row r="70" spans="5:9" x14ac:dyDescent="0.25">
      <c r="I70" s="6"/>
    </row>
    <row r="72" spans="5:9" x14ac:dyDescent="0.25">
      <c r="E72"/>
    </row>
    <row r="73" spans="5:9" x14ac:dyDescent="0.25">
      <c r="E73"/>
    </row>
    <row r="74" spans="5:9" x14ac:dyDescent="0.25">
      <c r="E74"/>
    </row>
    <row r="75" spans="5:9" x14ac:dyDescent="0.25">
      <c r="E75"/>
    </row>
    <row r="77" spans="5:9" x14ac:dyDescent="0.25">
      <c r="E77"/>
    </row>
    <row r="78" spans="5:9" x14ac:dyDescent="0.25">
      <c r="E78"/>
    </row>
    <row r="96" spans="5:5" x14ac:dyDescent="0.25">
      <c r="E96"/>
    </row>
    <row r="97" spans="5:5" x14ac:dyDescent="0.25">
      <c r="E97"/>
    </row>
    <row r="98" spans="5:5" x14ac:dyDescent="0.25">
      <c r="E98"/>
    </row>
    <row r="116" spans="5:9" x14ac:dyDescent="0.25">
      <c r="I116" s="6"/>
    </row>
    <row r="117" spans="5:9" x14ac:dyDescent="0.25">
      <c r="I117" s="6"/>
    </row>
    <row r="118" spans="5:9" x14ac:dyDescent="0.25">
      <c r="I118" s="6"/>
    </row>
    <row r="119" spans="5:9" x14ac:dyDescent="0.25">
      <c r="I119" s="6"/>
    </row>
    <row r="120" spans="5:9" x14ac:dyDescent="0.25">
      <c r="I120" s="6"/>
    </row>
    <row r="121" spans="5:9" x14ac:dyDescent="0.25">
      <c r="E121"/>
      <c r="I121" s="6"/>
    </row>
    <row r="122" spans="5:9" x14ac:dyDescent="0.25">
      <c r="I122" s="6"/>
    </row>
    <row r="123" spans="5:9" x14ac:dyDescent="0.25">
      <c r="I123" s="6"/>
    </row>
    <row r="138" spans="9:9" x14ac:dyDescent="0.25">
      <c r="I138" s="6"/>
    </row>
    <row r="139" spans="9:9" x14ac:dyDescent="0.25">
      <c r="I139" s="6"/>
    </row>
    <row r="140" spans="9:9" x14ac:dyDescent="0.25">
      <c r="I140" s="6"/>
    </row>
  </sheetData>
  <conditionalFormatting sqref="C38:C51">
    <cfRule type="colorScale" priority="3">
      <colorScale>
        <cfvo type="num" val="50"/>
        <cfvo type="num" val="100"/>
        <cfvo type="num" val="200"/>
        <color theme="5" tint="-0.249977111117893"/>
        <color theme="0"/>
        <color theme="4" tint="-0.249977111117893"/>
      </colorScale>
    </cfRule>
  </conditionalFormatting>
  <conditionalFormatting sqref="C55:C70 C53 C72:C1048576 C1:C37">
    <cfRule type="colorScale" priority="9">
      <colorScale>
        <cfvo type="num" val="50"/>
        <cfvo type="num" val="100"/>
        <cfvo type="num" val="200"/>
        <color theme="5" tint="-0.249977111117893"/>
        <color theme="0"/>
        <color theme="4" tint="-0.249977111117893"/>
      </colorScale>
    </cfRule>
  </conditionalFormatting>
  <conditionalFormatting sqref="D3:D51 H3:H51">
    <cfRule type="expression" dxfId="63" priority="1">
      <formula>FIND("Yes", D3)</formula>
    </cfRule>
    <cfRule type="expression" dxfId="62" priority="2">
      <formula>FIND("No", D3)</formula>
    </cfRule>
  </conditionalFormatting>
  <conditionalFormatting sqref="D53 H53 D69:D70 D72:D123 H72:H123">
    <cfRule type="expression" dxfId="61" priority="8">
      <formula>FIND("Yes", D53)</formula>
    </cfRule>
    <cfRule type="expression" dxfId="60" priority="10">
      <formula>FIND("No", D53)</formula>
    </cfRule>
  </conditionalFormatting>
  <conditionalFormatting sqref="H69:H70">
    <cfRule type="expression" dxfId="59" priority="4">
      <formula>FIND("Yes", H69)</formula>
    </cfRule>
    <cfRule type="expression" dxfId="58" priority="5">
      <formula>FIND("No", H69)</formula>
    </cfRule>
  </conditionalFormatting>
  <conditionalFormatting sqref="H138:H139 D138:D140">
    <cfRule type="expression" dxfId="57" priority="6">
      <formula>FIND("Yes", D138)</formula>
    </cfRule>
    <cfRule type="expression" dxfId="56" priority="7">
      <formula>FIND("No", D138)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B850F-4E47-441F-83BF-8B52DF53F78D}">
  <sheetPr codeName="Sheet3"/>
  <dimension ref="A2:J140"/>
  <sheetViews>
    <sheetView zoomScale="90" zoomScaleNormal="90" workbookViewId="0">
      <selection activeCell="A12" sqref="A12"/>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ol min="7" max="7" width="20.7109375" style="5"/>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t="s">
        <v>69</v>
      </c>
      <c r="B3" s="1">
        <v>81.117999999999995</v>
      </c>
      <c r="C3" s="1">
        <f t="shared" ref="C3:C13" si="0">B3/G3*1000000</f>
        <v>81.879479156152215</v>
      </c>
      <c r="D3" s="1" t="str">
        <f>IF(ISERROR(FIND("/",E3)), "No", "Yes")</f>
        <v>Yes</v>
      </c>
      <c r="E3" t="s">
        <v>23</v>
      </c>
      <c r="F3" s="1" t="s">
        <v>6</v>
      </c>
      <c r="G3" s="5">
        <v>990700</v>
      </c>
      <c r="H3" s="1" t="s">
        <v>38</v>
      </c>
    </row>
    <row r="4" spans="1:10" x14ac:dyDescent="0.25">
      <c r="A4" t="s">
        <v>13</v>
      </c>
      <c r="B4" s="1">
        <v>31.954000000000001</v>
      </c>
      <c r="C4" s="1">
        <f t="shared" si="0"/>
        <v>85.919560319005342</v>
      </c>
      <c r="D4" s="1" t="str">
        <f>IF(ISERROR(FIND("/",E4)), "No", "Yes")</f>
        <v>Yes</v>
      </c>
      <c r="E4" t="s">
        <v>26</v>
      </c>
      <c r="F4" s="1" t="s">
        <v>6</v>
      </c>
      <c r="G4" s="5">
        <v>371906</v>
      </c>
      <c r="H4" s="1" t="s">
        <v>38</v>
      </c>
    </row>
    <row r="5" spans="1:10" x14ac:dyDescent="0.25">
      <c r="A5" t="s">
        <v>15</v>
      </c>
      <c r="B5" s="1">
        <v>72.820999999999998</v>
      </c>
      <c r="C5" s="1">
        <f t="shared" si="0"/>
        <v>72.791883246701317</v>
      </c>
      <c r="D5" s="1" t="str">
        <f>IF(ISERROR(FIND("/",E5)), "No", "Yes")</f>
        <v>No</v>
      </c>
      <c r="E5" t="s">
        <v>28</v>
      </c>
      <c r="F5" t="s">
        <v>36</v>
      </c>
      <c r="G5" s="5">
        <v>1000400</v>
      </c>
      <c r="H5" s="1" t="s">
        <v>38</v>
      </c>
    </row>
    <row r="6" spans="1:10" x14ac:dyDescent="0.25">
      <c r="A6" s="1" t="s">
        <v>57</v>
      </c>
      <c r="B6" s="1">
        <f>AVERAGE(50.357,49.779)</f>
        <v>50.067999999999998</v>
      </c>
      <c r="C6" s="1">
        <f t="shared" si="0"/>
        <v>81.823827422781505</v>
      </c>
      <c r="D6" s="1" t="str">
        <f t="shared" ref="D6:D13" si="1">IF(ISERROR(FIND("/",E6)), "No", "Yes")</f>
        <v>No</v>
      </c>
      <c r="E6" s="1" t="s">
        <v>48</v>
      </c>
      <c r="F6" t="s">
        <v>6</v>
      </c>
      <c r="G6" s="5">
        <v>611900</v>
      </c>
      <c r="H6" s="1" t="s">
        <v>38</v>
      </c>
    </row>
    <row r="7" spans="1:10" x14ac:dyDescent="0.25">
      <c r="A7" s="1" t="s">
        <v>58</v>
      </c>
      <c r="B7" s="1">
        <f>AVERAGE(76.873, 77.513, 71.915, 78.592)</f>
        <v>76.223250000000007</v>
      </c>
      <c r="C7" s="1">
        <f t="shared" si="0"/>
        <v>78.906055900621126</v>
      </c>
      <c r="D7" s="1" t="str">
        <f t="shared" si="1"/>
        <v>No</v>
      </c>
      <c r="E7" s="1" t="s">
        <v>49</v>
      </c>
      <c r="F7" t="s">
        <v>6</v>
      </c>
      <c r="G7" s="5">
        <v>966000</v>
      </c>
      <c r="H7" s="1" t="s">
        <v>38</v>
      </c>
    </row>
    <row r="8" spans="1:10" x14ac:dyDescent="0.25">
      <c r="A8" s="1" t="s">
        <v>73</v>
      </c>
      <c r="B8" s="1">
        <f>AVERAGE(74.023,74.21)</f>
        <v>74.116500000000002</v>
      </c>
      <c r="C8" s="1">
        <f t="shared" si="0"/>
        <v>80.500162919517763</v>
      </c>
      <c r="D8" s="1" t="str">
        <f t="shared" si="1"/>
        <v>Yes</v>
      </c>
      <c r="E8" s="1" t="s">
        <v>50</v>
      </c>
      <c r="F8" t="s">
        <v>6</v>
      </c>
      <c r="G8" s="5">
        <v>920700</v>
      </c>
      <c r="H8" s="1" t="s">
        <v>38</v>
      </c>
    </row>
    <row r="9" spans="1:10" x14ac:dyDescent="0.25">
      <c r="A9" s="1" t="s">
        <v>59</v>
      </c>
      <c r="B9" s="1">
        <f>AVERAGE(77.517,76.886)</f>
        <v>77.201499999999996</v>
      </c>
      <c r="C9" s="1">
        <f t="shared" si="0"/>
        <v>85.01431560400836</v>
      </c>
      <c r="D9" s="1" t="str">
        <f t="shared" si="1"/>
        <v>No</v>
      </c>
      <c r="E9" s="1" t="s">
        <v>51</v>
      </c>
      <c r="F9" t="s">
        <v>6</v>
      </c>
      <c r="G9" s="5">
        <v>908100</v>
      </c>
      <c r="H9" s="1" t="s">
        <v>38</v>
      </c>
    </row>
    <row r="10" spans="1:10" x14ac:dyDescent="0.25">
      <c r="A10" s="1" t="s">
        <v>116</v>
      </c>
      <c r="B10" s="1">
        <f>AVERAGE(96.859,98.198)</f>
        <v>97.528499999999994</v>
      </c>
      <c r="C10" s="1">
        <f t="shared" si="0"/>
        <v>99.712197116859215</v>
      </c>
      <c r="D10" s="1" t="str">
        <f t="shared" si="1"/>
        <v>No</v>
      </c>
      <c r="E10" t="s">
        <v>118</v>
      </c>
      <c r="F10" s="1" t="s">
        <v>6</v>
      </c>
      <c r="G10" s="5">
        <v>978100</v>
      </c>
      <c r="H10" s="1" t="s">
        <v>38</v>
      </c>
    </row>
    <row r="11" spans="1:10" x14ac:dyDescent="0.25">
      <c r="A11" s="1" t="s">
        <v>128</v>
      </c>
      <c r="B11" s="1">
        <f>AVERAGE(34.738,34.757)</f>
        <v>34.747500000000002</v>
      </c>
      <c r="C11" s="1">
        <f t="shared" si="0"/>
        <v>96.120331950207472</v>
      </c>
      <c r="D11" s="1" t="str">
        <f t="shared" si="1"/>
        <v>No</v>
      </c>
      <c r="E11" s="1" t="s">
        <v>131</v>
      </c>
      <c r="F11" s="1" t="s">
        <v>6</v>
      </c>
      <c r="G11" s="5">
        <v>361500</v>
      </c>
      <c r="H11" s="1" t="s">
        <v>38</v>
      </c>
    </row>
    <row r="12" spans="1:10" x14ac:dyDescent="0.25">
      <c r="A12" s="1" t="s">
        <v>227</v>
      </c>
      <c r="B12" s="1">
        <f>AVERAGE(65.964,66.092)</f>
        <v>66.027999999999992</v>
      </c>
      <c r="C12" s="1">
        <f t="shared" si="0"/>
        <v>87.955241774343932</v>
      </c>
      <c r="D12" s="1" t="str">
        <f t="shared" si="1"/>
        <v>No</v>
      </c>
      <c r="E12" s="1" t="s">
        <v>224</v>
      </c>
      <c r="F12" s="1" t="s">
        <v>6</v>
      </c>
      <c r="G12" s="5">
        <v>750700</v>
      </c>
      <c r="H12" s="1" t="s">
        <v>38</v>
      </c>
    </row>
    <row r="13" spans="1:10" x14ac:dyDescent="0.25">
      <c r="A13" s="1" t="s">
        <v>229</v>
      </c>
      <c r="B13" s="1">
        <f>AVERAGE(29.857,29.82)</f>
        <v>29.8385</v>
      </c>
      <c r="C13" s="1">
        <f t="shared" si="0"/>
        <v>91.137751985339037</v>
      </c>
      <c r="D13" s="1" t="str">
        <f t="shared" si="1"/>
        <v>No</v>
      </c>
      <c r="E13" s="1" t="s">
        <v>226</v>
      </c>
      <c r="F13" s="1" t="s">
        <v>6</v>
      </c>
      <c r="G13" s="5">
        <v>327400</v>
      </c>
      <c r="H13" s="1" t="s">
        <v>38</v>
      </c>
    </row>
    <row r="21" spans="1:6" x14ac:dyDescent="0.25">
      <c r="A21"/>
      <c r="F21"/>
    </row>
    <row r="22" spans="1:6" x14ac:dyDescent="0.25">
      <c r="A22"/>
      <c r="F22"/>
    </row>
    <row r="23" spans="1:6" x14ac:dyDescent="0.25">
      <c r="A23"/>
      <c r="F23"/>
    </row>
    <row r="24" spans="1:6" x14ac:dyDescent="0.25">
      <c r="A24"/>
      <c r="F24"/>
    </row>
    <row r="25" spans="1:6" x14ac:dyDescent="0.25">
      <c r="A25"/>
      <c r="F25"/>
    </row>
    <row r="26" spans="1:6" x14ac:dyDescent="0.25">
      <c r="A26"/>
      <c r="F26"/>
    </row>
    <row r="27" spans="1:6" x14ac:dyDescent="0.25">
      <c r="A27"/>
      <c r="F27"/>
    </row>
    <row r="28" spans="1:6" x14ac:dyDescent="0.25">
      <c r="A28"/>
      <c r="F28"/>
    </row>
    <row r="29" spans="1:6" x14ac:dyDescent="0.25">
      <c r="A29"/>
      <c r="F29"/>
    </row>
    <row r="30" spans="1:6" x14ac:dyDescent="0.25">
      <c r="A30"/>
      <c r="F30"/>
    </row>
    <row r="31" spans="1:6" x14ac:dyDescent="0.25">
      <c r="F31"/>
    </row>
    <row r="32" spans="1:6" x14ac:dyDescent="0.25">
      <c r="F32"/>
    </row>
    <row r="33" spans="6:6" x14ac:dyDescent="0.25">
      <c r="F33"/>
    </row>
    <row r="34" spans="6:6" x14ac:dyDescent="0.25">
      <c r="F34"/>
    </row>
    <row r="35" spans="6:6" x14ac:dyDescent="0.25">
      <c r="F35"/>
    </row>
    <row r="36" spans="6:6" x14ac:dyDescent="0.25">
      <c r="F36"/>
    </row>
    <row r="37" spans="6:6" x14ac:dyDescent="0.25">
      <c r="F37"/>
    </row>
    <row r="38" spans="6:6" x14ac:dyDescent="0.25">
      <c r="F38"/>
    </row>
    <row r="54" spans="5:5" x14ac:dyDescent="0.25">
      <c r="E54"/>
    </row>
    <row r="71" spans="5:5" x14ac:dyDescent="0.25">
      <c r="E71"/>
    </row>
    <row r="72" spans="5:5" x14ac:dyDescent="0.25">
      <c r="E72"/>
    </row>
    <row r="73" spans="5:5" x14ac:dyDescent="0.25">
      <c r="E73"/>
    </row>
    <row r="74" spans="5:5" x14ac:dyDescent="0.25">
      <c r="E74"/>
    </row>
    <row r="75" spans="5:5" x14ac:dyDescent="0.25">
      <c r="E75"/>
    </row>
    <row r="77" spans="5:5" x14ac:dyDescent="0.25">
      <c r="E77"/>
    </row>
    <row r="78" spans="5:5" x14ac:dyDescent="0.25">
      <c r="E78"/>
    </row>
    <row r="96" spans="5:5" x14ac:dyDescent="0.25">
      <c r="E96"/>
    </row>
    <row r="97" spans="5:5" x14ac:dyDescent="0.25">
      <c r="E97"/>
    </row>
    <row r="98" spans="5:5" x14ac:dyDescent="0.25">
      <c r="E98"/>
    </row>
    <row r="116" spans="5:9" x14ac:dyDescent="0.25">
      <c r="I116" s="6"/>
    </row>
    <row r="117" spans="5:9" x14ac:dyDescent="0.25">
      <c r="I117" s="6"/>
    </row>
    <row r="118" spans="5:9" x14ac:dyDescent="0.25">
      <c r="I118" s="6"/>
    </row>
    <row r="119" spans="5:9" x14ac:dyDescent="0.25">
      <c r="I119" s="6"/>
    </row>
    <row r="120" spans="5:9" x14ac:dyDescent="0.25">
      <c r="I120" s="6"/>
    </row>
    <row r="121" spans="5:9" x14ac:dyDescent="0.25">
      <c r="E121"/>
      <c r="I121" s="6"/>
    </row>
    <row r="122" spans="5:9" x14ac:dyDescent="0.25">
      <c r="I122" s="6"/>
    </row>
    <row r="123" spans="5:9" x14ac:dyDescent="0.25">
      <c r="I123" s="6"/>
    </row>
    <row r="138" spans="9:9" x14ac:dyDescent="0.25">
      <c r="I138" s="6"/>
    </row>
    <row r="139" spans="9:9" x14ac:dyDescent="0.25">
      <c r="I139" s="6"/>
    </row>
    <row r="140" spans="9:9" x14ac:dyDescent="0.25">
      <c r="I140" s="6"/>
    </row>
  </sheetData>
  <conditionalFormatting sqref="C111:C1048576 C65:C107 C59:C60 C47:C54 C21:C38 C1:C13">
    <cfRule type="colorScale" priority="4">
      <colorScale>
        <cfvo type="num" val="50"/>
        <cfvo type="num" val="100"/>
        <cfvo type="num" val="200"/>
        <color theme="5" tint="-0.249977111117893"/>
        <color theme="0"/>
        <color theme="4" tint="-0.249977111117893"/>
      </colorScale>
    </cfRule>
  </conditionalFormatting>
  <conditionalFormatting sqref="D3:D13 H3:H13 D21:D38 H21:H38 D47:D54 H47:H54 D59:D60 H59:H60 D65:D107 H65:H107 D111:D123 H111:H123">
    <cfRule type="expression" dxfId="55" priority="3">
      <formula>FIND("Yes", D3)</formula>
    </cfRule>
    <cfRule type="expression" dxfId="54" priority="5">
      <formula>FIND("No", D3)</formula>
    </cfRule>
  </conditionalFormatting>
  <conditionalFormatting sqref="H138:H139 D138:D140">
    <cfRule type="expression" dxfId="53" priority="1">
      <formula>FIND("Yes", D138)</formula>
    </cfRule>
    <cfRule type="expression" dxfId="52" priority="2">
      <formula>FIND("No", D138)</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29B4A-A86A-43E6-87A1-8006A1C7D5F9}">
  <sheetPr codeName="Sheet4"/>
  <dimension ref="A2:J140"/>
  <sheetViews>
    <sheetView topLeftCell="A22" zoomScale="283" zoomScaleNormal="90" workbookViewId="0">
      <selection activeCell="B29" sqref="B29"/>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ol min="7" max="7" width="20.7109375" style="5"/>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t="s">
        <v>70</v>
      </c>
      <c r="B3" s="1">
        <v>75.647999999999996</v>
      </c>
      <c r="C3" s="1">
        <f t="shared" ref="C3:C30" si="0">B3/G3*1000000</f>
        <v>76.119943650633928</v>
      </c>
      <c r="D3" s="1" t="str">
        <f t="shared" ref="D3:D30" si="1">IF(ISERROR(FIND("/",E3)), "No", "Yes")</f>
        <v>Yes</v>
      </c>
      <c r="E3" t="s">
        <v>25</v>
      </c>
      <c r="F3" s="1" t="s">
        <v>6</v>
      </c>
      <c r="G3" s="5">
        <v>993800</v>
      </c>
      <c r="H3" s="1" t="s">
        <v>38</v>
      </c>
    </row>
    <row r="4" spans="1:10" x14ac:dyDescent="0.25">
      <c r="A4" t="s">
        <v>14</v>
      </c>
      <c r="B4" s="1">
        <v>33.179000000000002</v>
      </c>
      <c r="C4" s="1">
        <f t="shared" si="0"/>
        <v>85.489531210545579</v>
      </c>
      <c r="D4" s="1" t="str">
        <f t="shared" si="1"/>
        <v>Yes</v>
      </c>
      <c r="E4" t="s">
        <v>27</v>
      </c>
      <c r="F4" s="1" t="s">
        <v>6</v>
      </c>
      <c r="G4" s="5">
        <v>388106</v>
      </c>
      <c r="H4" s="1" t="s">
        <v>38</v>
      </c>
    </row>
    <row r="5" spans="1:10" x14ac:dyDescent="0.25">
      <c r="A5" t="s">
        <v>16</v>
      </c>
      <c r="B5" s="1">
        <f>AVERAGE(48.189,48.679)</f>
        <v>48.433999999999997</v>
      </c>
      <c r="C5" s="1">
        <f t="shared" si="0"/>
        <v>76.599715325003942</v>
      </c>
      <c r="D5" s="1" t="str">
        <f t="shared" si="1"/>
        <v>No</v>
      </c>
      <c r="E5" t="s">
        <v>29</v>
      </c>
      <c r="F5" t="s">
        <v>6</v>
      </c>
      <c r="G5" s="5">
        <v>632300</v>
      </c>
      <c r="H5" s="1" t="s">
        <v>38</v>
      </c>
    </row>
    <row r="6" spans="1:10" x14ac:dyDescent="0.25">
      <c r="A6" t="s">
        <v>71</v>
      </c>
      <c r="B6" s="1">
        <v>74.317999999999998</v>
      </c>
      <c r="C6" s="1">
        <f t="shared" si="0"/>
        <v>76.846241340088923</v>
      </c>
      <c r="D6" s="1" t="str">
        <f t="shared" si="1"/>
        <v>Yes</v>
      </c>
      <c r="E6" t="s">
        <v>30</v>
      </c>
      <c r="F6" t="s">
        <v>6</v>
      </c>
      <c r="G6" s="5">
        <v>967100</v>
      </c>
      <c r="H6" s="1" t="s">
        <v>38</v>
      </c>
    </row>
    <row r="7" spans="1:10" x14ac:dyDescent="0.25">
      <c r="A7" t="s">
        <v>19</v>
      </c>
      <c r="B7" s="1">
        <v>28.896999999999998</v>
      </c>
      <c r="C7" s="1">
        <f t="shared" si="0"/>
        <v>83.63820549927641</v>
      </c>
      <c r="D7" s="1" t="str">
        <f t="shared" si="1"/>
        <v>No</v>
      </c>
      <c r="E7" t="s">
        <v>33</v>
      </c>
      <c r="F7" t="s">
        <v>6</v>
      </c>
      <c r="G7" s="5">
        <v>345500</v>
      </c>
      <c r="H7" s="1" t="s">
        <v>38</v>
      </c>
    </row>
    <row r="8" spans="1:10" x14ac:dyDescent="0.25">
      <c r="A8" s="1" t="s">
        <v>60</v>
      </c>
      <c r="B8" s="1">
        <f>AVERAGE(45.294, 54.453, 54.397, 46.551, 51.085)</f>
        <v>50.356000000000002</v>
      </c>
      <c r="C8" s="1">
        <f t="shared" si="0"/>
        <v>80.082697201017808</v>
      </c>
      <c r="D8" s="1" t="str">
        <f t="shared" si="1"/>
        <v>No</v>
      </c>
      <c r="E8" s="1" t="s">
        <v>52</v>
      </c>
      <c r="F8" t="s">
        <v>6</v>
      </c>
      <c r="G8" s="5">
        <v>628800</v>
      </c>
      <c r="H8" s="1" t="s">
        <v>38</v>
      </c>
    </row>
    <row r="9" spans="1:10" x14ac:dyDescent="0.25">
      <c r="A9" s="1" t="s">
        <v>61</v>
      </c>
      <c r="B9" s="1">
        <f>AVERAGE(72.754,73.902)</f>
        <v>73.328000000000003</v>
      </c>
      <c r="C9" s="1">
        <f t="shared" si="0"/>
        <v>81.294900221729492</v>
      </c>
      <c r="D9" s="1" t="str">
        <f t="shared" si="1"/>
        <v>No</v>
      </c>
      <c r="E9" s="1" t="s">
        <v>53</v>
      </c>
      <c r="F9" t="s">
        <v>6</v>
      </c>
      <c r="G9" s="5">
        <v>902000</v>
      </c>
      <c r="H9" s="1" t="s">
        <v>38</v>
      </c>
    </row>
    <row r="10" spans="1:10" x14ac:dyDescent="0.25">
      <c r="A10" s="1" t="s">
        <v>74</v>
      </c>
      <c r="B10" s="1">
        <f>AVERAGE(75.915,75.258)</f>
        <v>75.586500000000001</v>
      </c>
      <c r="C10" s="1">
        <f t="shared" si="0"/>
        <v>80.60840354057801</v>
      </c>
      <c r="D10" s="1" t="str">
        <f t="shared" si="1"/>
        <v>Yes</v>
      </c>
      <c r="E10" s="1" t="s">
        <v>54</v>
      </c>
      <c r="F10" t="s">
        <v>6</v>
      </c>
      <c r="G10" s="5">
        <v>937700</v>
      </c>
      <c r="H10" s="1" t="s">
        <v>38</v>
      </c>
    </row>
    <row r="11" spans="1:10" x14ac:dyDescent="0.25">
      <c r="A11" s="1" t="s">
        <v>115</v>
      </c>
      <c r="B11" s="1">
        <f>AVERAGE(97.961,96.783)</f>
        <v>97.372</v>
      </c>
      <c r="C11" s="1">
        <f t="shared" si="0"/>
        <v>98.30590610802625</v>
      </c>
      <c r="D11" s="1" t="str">
        <f t="shared" si="1"/>
        <v>No</v>
      </c>
      <c r="E11" t="s">
        <v>117</v>
      </c>
      <c r="F11" s="1" t="s">
        <v>6</v>
      </c>
      <c r="G11" s="5">
        <v>990500</v>
      </c>
      <c r="H11" s="1" t="s">
        <v>38</v>
      </c>
    </row>
    <row r="12" spans="1:10" x14ac:dyDescent="0.25">
      <c r="A12" s="1" t="s">
        <v>129</v>
      </c>
      <c r="B12" s="1">
        <f>AVERAGE(34.721,34.262)</f>
        <v>34.491500000000002</v>
      </c>
      <c r="C12" s="1">
        <f t="shared" si="0"/>
        <v>97.241330702001704</v>
      </c>
      <c r="D12" s="1" t="str">
        <f t="shared" si="1"/>
        <v>No</v>
      </c>
      <c r="E12" s="1" t="s">
        <v>132</v>
      </c>
      <c r="F12" s="1" t="s">
        <v>6</v>
      </c>
      <c r="G12" s="5">
        <v>354700</v>
      </c>
      <c r="H12" s="1" t="s">
        <v>38</v>
      </c>
    </row>
    <row r="13" spans="1:10" x14ac:dyDescent="0.25">
      <c r="A13" s="1" t="s">
        <v>158</v>
      </c>
      <c r="B13" s="1">
        <f>AVERAGE(77.881, 76.895)</f>
        <v>77.388000000000005</v>
      </c>
      <c r="C13" s="1">
        <f t="shared" si="0"/>
        <v>79.987596899224812</v>
      </c>
      <c r="D13" s="1" t="str">
        <f t="shared" si="1"/>
        <v>No</v>
      </c>
      <c r="E13" s="1" t="s">
        <v>138</v>
      </c>
      <c r="F13" s="1" t="s">
        <v>6</v>
      </c>
      <c r="G13" s="5">
        <v>967500</v>
      </c>
      <c r="H13" s="1" t="s">
        <v>38</v>
      </c>
    </row>
    <row r="14" spans="1:10" x14ac:dyDescent="0.25">
      <c r="A14" s="1" t="s">
        <v>168</v>
      </c>
      <c r="B14" s="1">
        <f>AVERAGE(61.975,62.328,62.047)</f>
        <v>62.116666666666667</v>
      </c>
      <c r="C14" s="1">
        <f t="shared" si="0"/>
        <v>82.197521062149889</v>
      </c>
      <c r="D14" s="1" t="str">
        <f t="shared" si="1"/>
        <v>No</v>
      </c>
      <c r="E14" t="s">
        <v>146</v>
      </c>
      <c r="F14" s="1" t="s">
        <v>6</v>
      </c>
      <c r="G14" s="5">
        <v>755700</v>
      </c>
      <c r="H14" s="1" t="s">
        <v>38</v>
      </c>
    </row>
    <row r="15" spans="1:10" x14ac:dyDescent="0.25">
      <c r="A15" s="1" t="s">
        <v>203</v>
      </c>
      <c r="B15" s="1">
        <v>32.89</v>
      </c>
      <c r="C15" s="1">
        <f t="shared" si="0"/>
        <v>82.348522784176268</v>
      </c>
      <c r="D15" s="1" t="str">
        <f t="shared" si="1"/>
        <v>No</v>
      </c>
      <c r="E15" t="s">
        <v>200</v>
      </c>
      <c r="F15" s="1" t="s">
        <v>96</v>
      </c>
      <c r="G15" s="5">
        <v>399400</v>
      </c>
      <c r="H15" s="1" t="s">
        <v>38</v>
      </c>
    </row>
    <row r="16" spans="1:10" x14ac:dyDescent="0.25">
      <c r="A16" s="1" t="s">
        <v>206</v>
      </c>
      <c r="B16" s="1">
        <f>AVERAGE(50.885,50.413)</f>
        <v>50.649000000000001</v>
      </c>
      <c r="C16" s="1">
        <f t="shared" si="0"/>
        <v>88.100539224212909</v>
      </c>
      <c r="D16" s="1" t="str">
        <f t="shared" si="1"/>
        <v>Yes</v>
      </c>
      <c r="E16" s="1" t="s">
        <v>210</v>
      </c>
      <c r="F16" s="1" t="s">
        <v>6</v>
      </c>
      <c r="G16" s="5">
        <v>574900</v>
      </c>
      <c r="H16" s="1" t="s">
        <v>38</v>
      </c>
    </row>
    <row r="17" spans="1:9" x14ac:dyDescent="0.25">
      <c r="A17" s="1" t="s">
        <v>215</v>
      </c>
      <c r="B17" s="1">
        <f>AVERAGE(39.689,39.299)</f>
        <v>39.494</v>
      </c>
      <c r="C17" s="1">
        <f t="shared" si="0"/>
        <v>98.734999999999999</v>
      </c>
      <c r="D17" s="1" t="str">
        <f t="shared" si="1"/>
        <v>No</v>
      </c>
      <c r="E17" s="1" t="s">
        <v>219</v>
      </c>
      <c r="F17" s="1" t="s">
        <v>6</v>
      </c>
      <c r="G17" s="5">
        <v>400000</v>
      </c>
      <c r="H17" s="1" t="s">
        <v>38</v>
      </c>
    </row>
    <row r="18" spans="1:9" x14ac:dyDescent="0.25">
      <c r="A18" s="1" t="s">
        <v>222</v>
      </c>
      <c r="B18" s="1">
        <f>AVERAGE(35.679,35.777)</f>
        <v>35.728000000000002</v>
      </c>
      <c r="C18" s="1">
        <f t="shared" si="0"/>
        <v>101.73120728929385</v>
      </c>
      <c r="D18" s="1" t="str">
        <f t="shared" si="1"/>
        <v>No</v>
      </c>
      <c r="E18" s="1" t="s">
        <v>223</v>
      </c>
      <c r="F18" s="1" t="s">
        <v>6</v>
      </c>
      <c r="G18" s="5">
        <v>351200</v>
      </c>
      <c r="H18" s="1" t="s">
        <v>38</v>
      </c>
    </row>
    <row r="19" spans="1:9" x14ac:dyDescent="0.25">
      <c r="A19" s="1" t="s">
        <v>228</v>
      </c>
      <c r="B19" s="1">
        <f>AVERAGE(32.853,32.226)</f>
        <v>32.539500000000004</v>
      </c>
      <c r="C19" s="1">
        <f t="shared" si="0"/>
        <v>94.701688009313159</v>
      </c>
      <c r="D19" s="1" t="str">
        <f t="shared" si="1"/>
        <v>No</v>
      </c>
      <c r="E19" s="1" t="s">
        <v>225</v>
      </c>
      <c r="F19" s="1" t="s">
        <v>6</v>
      </c>
      <c r="G19" s="5">
        <v>343600</v>
      </c>
      <c r="H19" s="1" t="s">
        <v>38</v>
      </c>
    </row>
    <row r="20" spans="1:9" x14ac:dyDescent="0.25">
      <c r="A20" s="1" t="s">
        <v>239</v>
      </c>
      <c r="B20" s="1">
        <f>AVERAGE(69.538,66.569)</f>
        <v>68.0535</v>
      </c>
      <c r="C20" s="1">
        <f t="shared" si="0"/>
        <v>90.292556720180443</v>
      </c>
      <c r="D20" s="1" t="str">
        <f t="shared" si="1"/>
        <v>No</v>
      </c>
      <c r="E20" s="1" t="s">
        <v>251</v>
      </c>
      <c r="F20" s="1" t="s">
        <v>6</v>
      </c>
      <c r="G20" s="5">
        <v>753700</v>
      </c>
      <c r="H20" s="1" t="s">
        <v>38</v>
      </c>
      <c r="I20" s="6">
        <v>45200</v>
      </c>
    </row>
    <row r="21" spans="1:9" x14ac:dyDescent="0.25">
      <c r="A21" s="1" t="s">
        <v>240</v>
      </c>
      <c r="B21" s="1">
        <f>AVERAGE(69.017, 67.886)</f>
        <v>68.451499999999996</v>
      </c>
      <c r="C21" s="1">
        <f t="shared" si="0"/>
        <v>94.939667128987523</v>
      </c>
      <c r="D21" s="1" t="str">
        <f t="shared" si="1"/>
        <v>No</v>
      </c>
      <c r="E21" s="1" t="s">
        <v>252</v>
      </c>
      <c r="F21" s="1" t="s">
        <v>6</v>
      </c>
      <c r="G21" s="5">
        <v>721000</v>
      </c>
      <c r="H21" s="1" t="s">
        <v>38</v>
      </c>
      <c r="I21" s="6">
        <v>45222</v>
      </c>
    </row>
    <row r="22" spans="1:9" x14ac:dyDescent="0.25">
      <c r="A22" s="1" t="s">
        <v>237</v>
      </c>
      <c r="B22" s="1">
        <f>AVERAGE(72.058,72.687)</f>
        <v>72.372500000000002</v>
      </c>
      <c r="C22" s="1">
        <f t="shared" si="0"/>
        <v>89.019065190651901</v>
      </c>
      <c r="D22" s="1" t="str">
        <f t="shared" si="1"/>
        <v>No</v>
      </c>
      <c r="E22" s="1" t="s">
        <v>253</v>
      </c>
      <c r="F22" s="1" t="s">
        <v>6</v>
      </c>
      <c r="G22" s="5">
        <v>813000</v>
      </c>
      <c r="H22" s="1" t="s">
        <v>38</v>
      </c>
      <c r="I22" s="6">
        <v>45222</v>
      </c>
    </row>
    <row r="23" spans="1:9" x14ac:dyDescent="0.25">
      <c r="A23" s="1" t="s">
        <v>238</v>
      </c>
      <c r="B23" s="1">
        <f>AVERAGE(67.518,67.907)</f>
        <v>67.712500000000006</v>
      </c>
      <c r="C23" s="1">
        <f t="shared" si="0"/>
        <v>88.236252280427422</v>
      </c>
      <c r="D23" s="1" t="str">
        <f t="shared" si="1"/>
        <v>No</v>
      </c>
      <c r="E23" s="1" t="s">
        <v>254</v>
      </c>
      <c r="F23" s="1" t="s">
        <v>6</v>
      </c>
      <c r="G23" s="5">
        <v>767400</v>
      </c>
      <c r="H23" s="1" t="s">
        <v>38</v>
      </c>
      <c r="I23" s="6">
        <v>45222</v>
      </c>
    </row>
    <row r="24" spans="1:9" x14ac:dyDescent="0.25">
      <c r="A24" t="s">
        <v>423</v>
      </c>
      <c r="B24" s="1">
        <f>AVERAGE(68.09,68.829)</f>
        <v>68.459499999999991</v>
      </c>
      <c r="C24" s="1">
        <f t="shared" si="0"/>
        <v>94.858667036164604</v>
      </c>
      <c r="D24" s="1" t="str">
        <f t="shared" si="1"/>
        <v>No</v>
      </c>
      <c r="E24" s="1" t="s">
        <v>428</v>
      </c>
      <c r="F24" s="1" t="s">
        <v>6</v>
      </c>
      <c r="G24" s="5">
        <v>721700</v>
      </c>
      <c r="H24" s="1" t="s">
        <v>38</v>
      </c>
      <c r="I24" s="7">
        <v>45408</v>
      </c>
    </row>
    <row r="25" spans="1:9" x14ac:dyDescent="0.25">
      <c r="A25" s="1" t="s">
        <v>424</v>
      </c>
      <c r="B25" s="1">
        <f>AVERAGE(36.949,36.264)</f>
        <v>36.606499999999997</v>
      </c>
      <c r="C25" s="1">
        <f t="shared" si="0"/>
        <v>103.14595660749505</v>
      </c>
      <c r="D25" s="1" t="str">
        <f t="shared" si="1"/>
        <v>No</v>
      </c>
      <c r="E25" s="1" t="s">
        <v>429</v>
      </c>
      <c r="F25" s="1" t="s">
        <v>6</v>
      </c>
      <c r="G25" s="5">
        <v>354900</v>
      </c>
      <c r="H25" s="1" t="s">
        <v>38</v>
      </c>
      <c r="I25" s="7">
        <v>45408</v>
      </c>
    </row>
    <row r="26" spans="1:9" x14ac:dyDescent="0.25">
      <c r="A26" s="1" t="s">
        <v>425</v>
      </c>
      <c r="B26" s="1">
        <f>AVERAGE(38.923,39.599)</f>
        <v>39.260999999999996</v>
      </c>
      <c r="C26" s="1">
        <f t="shared" si="0"/>
        <v>103.50909570261007</v>
      </c>
      <c r="D26" s="1" t="str">
        <f t="shared" si="1"/>
        <v>No</v>
      </c>
      <c r="E26" s="1" t="s">
        <v>430</v>
      </c>
      <c r="F26" s="1" t="s">
        <v>6</v>
      </c>
      <c r="G26" s="5">
        <v>379300</v>
      </c>
      <c r="H26" s="1" t="s">
        <v>38</v>
      </c>
      <c r="I26" s="7">
        <v>45408</v>
      </c>
    </row>
    <row r="27" spans="1:9" x14ac:dyDescent="0.25">
      <c r="A27" s="1" t="s">
        <v>426</v>
      </c>
      <c r="B27" s="1">
        <f>AVERAGE(34.136,34.672)</f>
        <v>34.403999999999996</v>
      </c>
      <c r="C27" s="1">
        <f t="shared" si="0"/>
        <v>100.53769725306837</v>
      </c>
      <c r="D27" s="1" t="str">
        <f t="shared" si="1"/>
        <v>No</v>
      </c>
      <c r="E27" s="1" t="s">
        <v>431</v>
      </c>
      <c r="F27" s="1" t="s">
        <v>96</v>
      </c>
      <c r="G27" s="5">
        <v>342200</v>
      </c>
      <c r="H27" s="1" t="s">
        <v>38</v>
      </c>
      <c r="I27" s="7">
        <v>45408</v>
      </c>
    </row>
    <row r="28" spans="1:9" x14ac:dyDescent="0.25">
      <c r="A28" s="1" t="s">
        <v>427</v>
      </c>
      <c r="B28" s="1">
        <f>AVERAGE(35.457,35.249)</f>
        <v>35.353000000000002</v>
      </c>
      <c r="C28" s="1">
        <f t="shared" si="0"/>
        <v>97.418021493524392</v>
      </c>
      <c r="D28" s="1" t="str">
        <f t="shared" si="1"/>
        <v>No</v>
      </c>
      <c r="E28" s="1" t="s">
        <v>432</v>
      </c>
      <c r="F28" s="1" t="s">
        <v>96</v>
      </c>
      <c r="G28" s="5">
        <v>362900</v>
      </c>
      <c r="H28" s="1" t="s">
        <v>38</v>
      </c>
      <c r="I28" s="7">
        <v>45408</v>
      </c>
    </row>
    <row r="29" spans="1:9" x14ac:dyDescent="0.25">
      <c r="A29" t="s">
        <v>674</v>
      </c>
      <c r="B29" s="1">
        <f>AVERAGE(62.583,61.783)</f>
        <v>62.183</v>
      </c>
      <c r="C29" s="1">
        <f t="shared" si="0"/>
        <v>84.190360140806931</v>
      </c>
      <c r="D29" s="1" t="str">
        <f t="shared" si="1"/>
        <v>Yes</v>
      </c>
      <c r="E29" s="1" t="s">
        <v>676</v>
      </c>
      <c r="F29" s="1" t="s">
        <v>6</v>
      </c>
      <c r="G29" s="5">
        <v>738600</v>
      </c>
      <c r="H29" s="1" t="s">
        <v>38</v>
      </c>
      <c r="I29" s="7">
        <v>46063</v>
      </c>
    </row>
    <row r="30" spans="1:9" x14ac:dyDescent="0.25">
      <c r="A30" t="s">
        <v>675</v>
      </c>
      <c r="B30" s="1">
        <f>AVERAGE(79.051,78.959)</f>
        <v>79.004999999999995</v>
      </c>
      <c r="C30" s="1">
        <f t="shared" si="0"/>
        <v>81.097310613836996</v>
      </c>
      <c r="D30" s="1" t="str">
        <f t="shared" si="1"/>
        <v>Yes</v>
      </c>
      <c r="E30" s="1" t="s">
        <v>677</v>
      </c>
      <c r="F30" s="1" t="s">
        <v>36</v>
      </c>
      <c r="G30" s="5">
        <v>974200</v>
      </c>
      <c r="H30" s="1" t="s">
        <v>38</v>
      </c>
      <c r="I30" s="7">
        <v>46063</v>
      </c>
    </row>
    <row r="31" spans="1:9" x14ac:dyDescent="0.25">
      <c r="F31"/>
    </row>
    <row r="33" spans="6:6" x14ac:dyDescent="0.25">
      <c r="F33"/>
    </row>
    <row r="36" spans="6:6" x14ac:dyDescent="0.25">
      <c r="F36"/>
    </row>
    <row r="37" spans="6:6" x14ac:dyDescent="0.25">
      <c r="F37"/>
    </row>
    <row r="38" spans="6:6" x14ac:dyDescent="0.25">
      <c r="F38"/>
    </row>
    <row r="39" spans="6:6" x14ac:dyDescent="0.25">
      <c r="F39"/>
    </row>
    <row r="40" spans="6:6" x14ac:dyDescent="0.25">
      <c r="F40"/>
    </row>
    <row r="41" spans="6:6" x14ac:dyDescent="0.25">
      <c r="F41"/>
    </row>
    <row r="42" spans="6:6" x14ac:dyDescent="0.25">
      <c r="F42"/>
    </row>
    <row r="55" spans="5:5" x14ac:dyDescent="0.25">
      <c r="E55"/>
    </row>
    <row r="98" spans="5:5" x14ac:dyDescent="0.25">
      <c r="E98"/>
    </row>
    <row r="120" spans="5:9" x14ac:dyDescent="0.25">
      <c r="I120" s="6"/>
    </row>
    <row r="121" spans="5:9" x14ac:dyDescent="0.25">
      <c r="E121"/>
      <c r="I121" s="6"/>
    </row>
    <row r="123" spans="5:9" x14ac:dyDescent="0.25">
      <c r="I123" s="6"/>
    </row>
    <row r="140" spans="9:9" x14ac:dyDescent="0.25">
      <c r="I140" s="6"/>
    </row>
  </sheetData>
  <conditionalFormatting sqref="C36:C42 C33 C53 C55 C60:C61 C65 C95 C98 C103 C105:C106 C108 C110:C114 C120:C121 C123:C137 C140:C1048576 C1:C31">
    <cfRule type="colorScale" priority="4">
      <colorScale>
        <cfvo type="num" val="50"/>
        <cfvo type="num" val="100"/>
        <cfvo type="num" val="200"/>
        <color theme="5" tint="-0.249977111117893"/>
        <color theme="0"/>
        <color theme="4" tint="-0.249977111117893"/>
      </colorScale>
    </cfRule>
  </conditionalFormatting>
  <conditionalFormatting sqref="D3:D31 H3:H31 D33 H33 D36:D42 H36:H42 D53 H53 D55 H55 D60:D61 H60:H61 D65 H65 D95 H95 D98 H98 D103 H103 D105:D106 H105:H106 D108 H108 D110:D114 H110:H114 D120:D121 H120:H121 D123 H123">
    <cfRule type="expression" dxfId="51" priority="3">
      <formula>FIND("Yes", D3)</formula>
    </cfRule>
    <cfRule type="expression" dxfId="50" priority="5">
      <formula>FIND("No", D3)</formula>
    </cfRule>
  </conditionalFormatting>
  <conditionalFormatting sqref="D140">
    <cfRule type="expression" dxfId="49" priority="1">
      <formula>FIND("Yes", D140)</formula>
    </cfRule>
    <cfRule type="expression" dxfId="48" priority="2">
      <formula>FIND("No", D140)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A20CB-EBB8-4844-8135-D9843ECFD9BE}">
  <sheetPr codeName="Sheet5"/>
  <dimension ref="A2:J140"/>
  <sheetViews>
    <sheetView zoomScaleNormal="100" workbookViewId="0">
      <selection activeCell="B11" sqref="B11"/>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ol min="7" max="7" width="20.7109375" style="5"/>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t="s">
        <v>78</v>
      </c>
      <c r="B3" s="1">
        <v>83.837999999999994</v>
      </c>
      <c r="C3" s="1">
        <f t="shared" ref="C3:C16" si="0">B3/G3*1000000</f>
        <v>96.654369379755579</v>
      </c>
      <c r="D3" s="1" t="str">
        <f t="shared" ref="D3:D16" si="1">IF(ISERROR(FIND("/",E3)), "No", "Yes")</f>
        <v>No</v>
      </c>
      <c r="E3" s="1" t="s">
        <v>84</v>
      </c>
      <c r="F3" t="s">
        <v>36</v>
      </c>
      <c r="G3" s="5">
        <v>867400</v>
      </c>
      <c r="H3" s="1" t="s">
        <v>38</v>
      </c>
    </row>
    <row r="4" spans="1:10" x14ac:dyDescent="0.25">
      <c r="A4" t="s">
        <v>79</v>
      </c>
      <c r="B4" s="1">
        <v>60.374000000000002</v>
      </c>
      <c r="C4" s="1">
        <f t="shared" si="0"/>
        <v>94.099127182044896</v>
      </c>
      <c r="D4" s="1" t="str">
        <f t="shared" si="1"/>
        <v>No</v>
      </c>
      <c r="E4" s="1" t="s">
        <v>85</v>
      </c>
      <c r="F4" t="s">
        <v>6</v>
      </c>
      <c r="G4" s="5">
        <v>641600</v>
      </c>
      <c r="H4" s="1" t="s">
        <v>38</v>
      </c>
    </row>
    <row r="5" spans="1:10" x14ac:dyDescent="0.25">
      <c r="A5" t="s">
        <v>94</v>
      </c>
      <c r="B5" s="1">
        <v>35.015000000000001</v>
      </c>
      <c r="C5" s="1">
        <f t="shared" si="0"/>
        <v>87.187442418688974</v>
      </c>
      <c r="D5" s="1" t="str">
        <f t="shared" si="1"/>
        <v>Yes</v>
      </c>
      <c r="E5" s="1" t="s">
        <v>86</v>
      </c>
      <c r="F5" t="s">
        <v>6</v>
      </c>
      <c r="G5" s="5">
        <v>401606</v>
      </c>
      <c r="H5" s="1" t="s">
        <v>38</v>
      </c>
    </row>
    <row r="6" spans="1:10" x14ac:dyDescent="0.25">
      <c r="A6" t="s">
        <v>92</v>
      </c>
      <c r="B6" s="1">
        <v>70.581000000000003</v>
      </c>
      <c r="C6" s="1">
        <f t="shared" si="0"/>
        <v>80.20568181818183</v>
      </c>
      <c r="D6" s="1" t="str">
        <f t="shared" si="1"/>
        <v>Yes</v>
      </c>
      <c r="E6" s="1" t="s">
        <v>87</v>
      </c>
      <c r="F6" t="s">
        <v>6</v>
      </c>
      <c r="G6" s="5">
        <v>880000</v>
      </c>
      <c r="H6" s="1" t="s">
        <v>38</v>
      </c>
    </row>
    <row r="7" spans="1:10" x14ac:dyDescent="0.25">
      <c r="A7" t="s">
        <v>133</v>
      </c>
      <c r="B7" s="1">
        <v>49.19</v>
      </c>
      <c r="C7" s="1">
        <f t="shared" si="0"/>
        <v>106.17310597884739</v>
      </c>
      <c r="D7" s="1" t="str">
        <f t="shared" si="1"/>
        <v>Yes</v>
      </c>
      <c r="E7" s="1" t="s">
        <v>88</v>
      </c>
      <c r="F7" t="s">
        <v>6</v>
      </c>
      <c r="G7" s="5">
        <v>463300</v>
      </c>
      <c r="H7" s="1" t="s">
        <v>38</v>
      </c>
    </row>
    <row r="8" spans="1:10" x14ac:dyDescent="0.25">
      <c r="A8" t="s">
        <v>134</v>
      </c>
      <c r="B8" s="1">
        <v>39.463000000000001</v>
      </c>
      <c r="C8" s="1">
        <f t="shared" si="0"/>
        <v>91.41301829974519</v>
      </c>
      <c r="D8" s="1" t="str">
        <f t="shared" si="1"/>
        <v>No</v>
      </c>
      <c r="E8" s="1" t="s">
        <v>89</v>
      </c>
      <c r="F8" t="s">
        <v>6</v>
      </c>
      <c r="G8" s="5">
        <v>431700</v>
      </c>
      <c r="H8" s="1" t="s">
        <v>38</v>
      </c>
    </row>
    <row r="9" spans="1:10" x14ac:dyDescent="0.25">
      <c r="A9" s="1" t="s">
        <v>169</v>
      </c>
      <c r="B9" s="1">
        <f>AVERAGE(61.16,62.045)</f>
        <v>61.602499999999999</v>
      </c>
      <c r="C9" s="1">
        <f t="shared" si="0"/>
        <v>87.940756602426831</v>
      </c>
      <c r="D9" s="1" t="str">
        <f t="shared" si="1"/>
        <v>No</v>
      </c>
      <c r="E9" t="s">
        <v>147</v>
      </c>
      <c r="F9" s="1" t="s">
        <v>6</v>
      </c>
      <c r="G9" s="5">
        <v>700500</v>
      </c>
      <c r="H9" s="1" t="s">
        <v>38</v>
      </c>
    </row>
    <row r="10" spans="1:10" x14ac:dyDescent="0.25">
      <c r="A10" s="1" t="s">
        <v>162</v>
      </c>
      <c r="B10" s="1">
        <v>63.015999999999998</v>
      </c>
      <c r="C10" s="1">
        <f t="shared" si="0"/>
        <v>79.355244931368844</v>
      </c>
      <c r="D10" s="1" t="str">
        <f t="shared" si="1"/>
        <v>No</v>
      </c>
      <c r="E10" s="1" t="s">
        <v>178</v>
      </c>
      <c r="F10" s="1" t="s">
        <v>6</v>
      </c>
      <c r="G10" s="5">
        <v>794100</v>
      </c>
      <c r="H10" s="1" t="s">
        <v>38</v>
      </c>
    </row>
    <row r="11" spans="1:10" x14ac:dyDescent="0.25">
      <c r="A11" s="1" t="s">
        <v>163</v>
      </c>
      <c r="B11" s="1">
        <v>61.197000000000003</v>
      </c>
      <c r="C11" s="1">
        <f t="shared" si="0"/>
        <v>75.729488924638048</v>
      </c>
      <c r="D11" s="1" t="str">
        <f t="shared" si="1"/>
        <v>No</v>
      </c>
      <c r="E11" s="1" t="s">
        <v>179</v>
      </c>
      <c r="F11" s="1" t="s">
        <v>6</v>
      </c>
      <c r="G11" s="5">
        <v>808100</v>
      </c>
      <c r="H11" s="1" t="s">
        <v>38</v>
      </c>
    </row>
    <row r="12" spans="1:10" x14ac:dyDescent="0.25">
      <c r="A12" s="1" t="s">
        <v>164</v>
      </c>
      <c r="B12" s="1">
        <v>63.841000000000001</v>
      </c>
      <c r="C12" s="1">
        <f t="shared" si="0"/>
        <v>77.845384709181815</v>
      </c>
      <c r="D12" s="1" t="str">
        <f t="shared" si="1"/>
        <v>No</v>
      </c>
      <c r="E12" s="1" t="s">
        <v>180</v>
      </c>
      <c r="F12" s="1" t="s">
        <v>6</v>
      </c>
      <c r="G12" s="5">
        <v>820100</v>
      </c>
      <c r="H12" s="1" t="s">
        <v>38</v>
      </c>
    </row>
    <row r="13" spans="1:10" x14ac:dyDescent="0.25">
      <c r="A13" s="1" t="s">
        <v>193</v>
      </c>
      <c r="B13" s="1">
        <f>AVERAGE(35.677,35.388)</f>
        <v>35.532499999999999</v>
      </c>
      <c r="C13" s="1">
        <f t="shared" si="0"/>
        <v>91.981620502200357</v>
      </c>
      <c r="D13" s="1" t="str">
        <f t="shared" si="1"/>
        <v>No</v>
      </c>
      <c r="E13" s="1" t="s">
        <v>183</v>
      </c>
      <c r="F13" s="1" t="s">
        <v>6</v>
      </c>
      <c r="G13" s="5">
        <v>386300</v>
      </c>
      <c r="H13" s="1" t="s">
        <v>38</v>
      </c>
    </row>
    <row r="14" spans="1:10" x14ac:dyDescent="0.25">
      <c r="A14" s="1" t="s">
        <v>196</v>
      </c>
      <c r="B14" s="1">
        <f>AVERAGE(31.968,31.879)</f>
        <v>31.923500000000001</v>
      </c>
      <c r="C14" s="1">
        <f t="shared" si="0"/>
        <v>89.396527583310004</v>
      </c>
      <c r="D14" s="1" t="str">
        <f t="shared" si="1"/>
        <v>No</v>
      </c>
      <c r="E14" s="1" t="s">
        <v>186</v>
      </c>
      <c r="F14" s="1" t="s">
        <v>6</v>
      </c>
      <c r="G14" s="5">
        <v>357100</v>
      </c>
      <c r="H14" s="1" t="s">
        <v>38</v>
      </c>
    </row>
    <row r="15" spans="1:10" x14ac:dyDescent="0.25">
      <c r="A15" t="s">
        <v>679</v>
      </c>
      <c r="B15" s="1">
        <f>AVERAGE(66.172,66.091)</f>
        <v>66.131499999999988</v>
      </c>
      <c r="C15" s="1">
        <f t="shared" si="0"/>
        <v>87.975921245177574</v>
      </c>
      <c r="D15" s="1" t="str">
        <f t="shared" si="1"/>
        <v>Yes</v>
      </c>
      <c r="E15" t="s">
        <v>680</v>
      </c>
      <c r="F15" s="1" t="s">
        <v>6</v>
      </c>
      <c r="G15" s="5">
        <v>751700</v>
      </c>
      <c r="H15" s="1" t="s">
        <v>38</v>
      </c>
      <c r="I15" s="7">
        <v>46063</v>
      </c>
    </row>
    <row r="16" spans="1:10" x14ac:dyDescent="0.25">
      <c r="A16" t="s">
        <v>678</v>
      </c>
      <c r="B16" s="1">
        <f>AVERAGE(76.697,76.639)</f>
        <v>76.668000000000006</v>
      </c>
      <c r="C16" s="1">
        <f t="shared" si="0"/>
        <v>81.59642401021712</v>
      </c>
      <c r="D16" s="1" t="str">
        <f t="shared" si="1"/>
        <v>Yes</v>
      </c>
      <c r="E16" t="s">
        <v>681</v>
      </c>
      <c r="F16" s="1" t="s">
        <v>36</v>
      </c>
      <c r="G16" s="5">
        <v>939600</v>
      </c>
      <c r="H16" s="1" t="s">
        <v>38</v>
      </c>
      <c r="I16" s="7">
        <v>46063</v>
      </c>
    </row>
    <row r="17" spans="1:6" x14ac:dyDescent="0.25">
      <c r="A17"/>
      <c r="E17"/>
      <c r="F17"/>
    </row>
    <row r="18" spans="1:6" x14ac:dyDescent="0.25">
      <c r="A18"/>
      <c r="E18"/>
      <c r="F18"/>
    </row>
    <row r="19" spans="1:6" x14ac:dyDescent="0.25">
      <c r="A19"/>
      <c r="E19"/>
      <c r="F19"/>
    </row>
    <row r="20" spans="1:6" x14ac:dyDescent="0.25">
      <c r="A20"/>
      <c r="E20"/>
      <c r="F20"/>
    </row>
    <row r="21" spans="1:6" x14ac:dyDescent="0.25">
      <c r="A21"/>
      <c r="F21"/>
    </row>
    <row r="22" spans="1:6" x14ac:dyDescent="0.25">
      <c r="A22"/>
      <c r="F22"/>
    </row>
    <row r="23" spans="1:6" x14ac:dyDescent="0.25">
      <c r="A23"/>
      <c r="F23"/>
    </row>
    <row r="24" spans="1:6" x14ac:dyDescent="0.25">
      <c r="A24"/>
      <c r="F24"/>
    </row>
    <row r="25" spans="1:6" x14ac:dyDescent="0.25">
      <c r="A25"/>
      <c r="F25"/>
    </row>
    <row r="26" spans="1:6" x14ac:dyDescent="0.25">
      <c r="A26"/>
      <c r="F26"/>
    </row>
    <row r="27" spans="1:6" x14ac:dyDescent="0.25">
      <c r="A27"/>
      <c r="F27"/>
    </row>
    <row r="28" spans="1:6" x14ac:dyDescent="0.25">
      <c r="A28"/>
      <c r="F28"/>
    </row>
    <row r="29" spans="1:6" x14ac:dyDescent="0.25">
      <c r="A29"/>
      <c r="F29"/>
    </row>
    <row r="30" spans="1:6" x14ac:dyDescent="0.25">
      <c r="A30"/>
      <c r="F30"/>
    </row>
    <row r="31" spans="1:6" x14ac:dyDescent="0.25">
      <c r="F31"/>
    </row>
    <row r="32" spans="1:6" x14ac:dyDescent="0.25">
      <c r="F32"/>
    </row>
    <row r="33" spans="5:6" x14ac:dyDescent="0.25">
      <c r="F33"/>
    </row>
    <row r="34" spans="5:6" x14ac:dyDescent="0.25">
      <c r="F34"/>
    </row>
    <row r="35" spans="5:6" x14ac:dyDescent="0.25">
      <c r="F35"/>
    </row>
    <row r="36" spans="5:6" x14ac:dyDescent="0.25">
      <c r="F36"/>
    </row>
    <row r="37" spans="5:6" x14ac:dyDescent="0.25">
      <c r="F37"/>
    </row>
    <row r="38" spans="5:6" x14ac:dyDescent="0.25">
      <c r="F38"/>
    </row>
    <row r="39" spans="5:6" x14ac:dyDescent="0.25">
      <c r="F39"/>
    </row>
    <row r="40" spans="5:6" x14ac:dyDescent="0.25">
      <c r="F40"/>
    </row>
    <row r="41" spans="5:6" x14ac:dyDescent="0.25">
      <c r="F41"/>
    </row>
    <row r="42" spans="5:6" x14ac:dyDescent="0.25">
      <c r="F42"/>
    </row>
    <row r="43" spans="5:6" x14ac:dyDescent="0.25">
      <c r="F43"/>
    </row>
    <row r="44" spans="5:6" x14ac:dyDescent="0.25">
      <c r="F44"/>
    </row>
    <row r="45" spans="5:6" x14ac:dyDescent="0.25">
      <c r="F45"/>
    </row>
    <row r="46" spans="5:6" x14ac:dyDescent="0.25">
      <c r="E46"/>
      <c r="F46"/>
    </row>
    <row r="54" spans="5:5" x14ac:dyDescent="0.25">
      <c r="E54"/>
    </row>
    <row r="55" spans="5:5" x14ac:dyDescent="0.25">
      <c r="E55"/>
    </row>
    <row r="71" spans="5:5" x14ac:dyDescent="0.25">
      <c r="E71"/>
    </row>
    <row r="72" spans="5:5" x14ac:dyDescent="0.25">
      <c r="E72"/>
    </row>
    <row r="73" spans="5:5" x14ac:dyDescent="0.25">
      <c r="E73"/>
    </row>
    <row r="74" spans="5:5" x14ac:dyDescent="0.25">
      <c r="E74"/>
    </row>
    <row r="75" spans="5:5" x14ac:dyDescent="0.25">
      <c r="E75"/>
    </row>
    <row r="77" spans="5:5" x14ac:dyDescent="0.25">
      <c r="E77"/>
    </row>
    <row r="78" spans="5:5" x14ac:dyDescent="0.25">
      <c r="E78"/>
    </row>
    <row r="96" spans="5:5" x14ac:dyDescent="0.25">
      <c r="E96"/>
    </row>
    <row r="97" spans="5:5" x14ac:dyDescent="0.25">
      <c r="E97"/>
    </row>
    <row r="98" spans="5:5" x14ac:dyDescent="0.25">
      <c r="E98"/>
    </row>
    <row r="116" spans="5:9" x14ac:dyDescent="0.25">
      <c r="I116" s="6"/>
    </row>
    <row r="117" spans="5:9" x14ac:dyDescent="0.25">
      <c r="I117" s="6"/>
    </row>
    <row r="118" spans="5:9" x14ac:dyDescent="0.25">
      <c r="I118" s="6"/>
    </row>
    <row r="119" spans="5:9" x14ac:dyDescent="0.25">
      <c r="I119" s="6"/>
    </row>
    <row r="120" spans="5:9" x14ac:dyDescent="0.25">
      <c r="I120" s="6"/>
    </row>
    <row r="121" spans="5:9" x14ac:dyDescent="0.25">
      <c r="E121"/>
      <c r="I121" s="6"/>
    </row>
    <row r="122" spans="5:9" x14ac:dyDescent="0.25">
      <c r="I122" s="6"/>
    </row>
    <row r="123" spans="5:9" x14ac:dyDescent="0.25">
      <c r="I123" s="6"/>
    </row>
    <row r="138" spans="9:9" x14ac:dyDescent="0.25">
      <c r="I138" s="6"/>
    </row>
    <row r="139" spans="9:9" x14ac:dyDescent="0.25">
      <c r="I139" s="6"/>
    </row>
    <row r="140" spans="9:9" x14ac:dyDescent="0.25">
      <c r="I140" s="6"/>
    </row>
  </sheetData>
  <conditionalFormatting sqref="C1:C2 C17:C1048576">
    <cfRule type="colorScale" priority="19">
      <colorScale>
        <cfvo type="num" val="50"/>
        <cfvo type="num" val="100"/>
        <cfvo type="num" val="200"/>
        <color theme="5" tint="-0.249977111117893"/>
        <color theme="0"/>
        <color theme="4" tint="-0.249977111117893"/>
      </colorScale>
    </cfRule>
  </conditionalFormatting>
  <conditionalFormatting sqref="C3:C8">
    <cfRule type="colorScale" priority="14">
      <colorScale>
        <cfvo type="num" val="50"/>
        <cfvo type="num" val="100"/>
        <cfvo type="num" val="200"/>
        <color theme="5" tint="-0.249977111117893"/>
        <color theme="0"/>
        <color theme="4" tint="-0.249977111117893"/>
      </colorScale>
    </cfRule>
  </conditionalFormatting>
  <conditionalFormatting sqref="C9">
    <cfRule type="colorScale" priority="11">
      <colorScale>
        <cfvo type="num" val="50"/>
        <cfvo type="num" val="100"/>
        <cfvo type="num" val="200"/>
        <color theme="5" tint="-0.249977111117893"/>
        <color theme="0"/>
        <color theme="4" tint="-0.249977111117893"/>
      </colorScale>
    </cfRule>
  </conditionalFormatting>
  <conditionalFormatting sqref="C10:C12">
    <cfRule type="colorScale" priority="8">
      <colorScale>
        <cfvo type="num" val="50"/>
        <cfvo type="num" val="100"/>
        <cfvo type="num" val="200"/>
        <color theme="5" tint="-0.249977111117893"/>
        <color theme="0"/>
        <color theme="4" tint="-0.249977111117893"/>
      </colorScale>
    </cfRule>
  </conditionalFormatting>
  <conditionalFormatting sqref="C13">
    <cfRule type="colorScale" priority="5">
      <colorScale>
        <cfvo type="num" val="50"/>
        <cfvo type="num" val="100"/>
        <cfvo type="num" val="200"/>
        <color theme="5" tint="-0.249977111117893"/>
        <color theme="0"/>
        <color theme="4" tint="-0.249977111117893"/>
      </colorScale>
    </cfRule>
  </conditionalFormatting>
  <conditionalFormatting sqref="C14:C16">
    <cfRule type="colorScale" priority="2">
      <colorScale>
        <cfvo type="num" val="50"/>
        <cfvo type="num" val="100"/>
        <cfvo type="num" val="200"/>
        <color theme="5" tint="-0.249977111117893"/>
        <color theme="0"/>
        <color theme="4" tint="-0.249977111117893"/>
      </colorScale>
    </cfRule>
  </conditionalFormatting>
  <conditionalFormatting sqref="D3:D123 H3:H123">
    <cfRule type="expression" dxfId="47" priority="1">
      <formula>FIND("Yes", D3)</formula>
    </cfRule>
    <cfRule type="expression" dxfId="46" priority="3">
      <formula>FIND("No", D3)</formula>
    </cfRule>
  </conditionalFormatting>
  <conditionalFormatting sqref="H138:H139 D138:D140">
    <cfRule type="expression" dxfId="45" priority="16">
      <formula>FIND("Yes", D138)</formula>
    </cfRule>
    <cfRule type="expression" dxfId="44" priority="17">
      <formula>FIND("No", D138)</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7B71C-119C-4340-B5DA-0DEEE0F74793}">
  <sheetPr codeName="Sheet6"/>
  <dimension ref="A2:J140"/>
  <sheetViews>
    <sheetView zoomScale="90" zoomScaleNormal="90" workbookViewId="0">
      <selection activeCell="C20" sqref="C20"/>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ustomWidth="1"/>
    <col min="7" max="7" width="20.7109375" style="5" customWidth="1"/>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s="1" t="s">
        <v>170</v>
      </c>
      <c r="B3" s="1">
        <f>AVERAGE(62.692,64.133)</f>
        <v>63.412499999999994</v>
      </c>
      <c r="C3" s="1">
        <f t="shared" ref="C3:C8" si="0">B3/G3*1000000</f>
        <v>92.155936637116696</v>
      </c>
      <c r="D3" s="1" t="str">
        <f t="shared" ref="D3:D9" si="1">IF(ISERROR(FIND("/",E3)), "No", "Yes")</f>
        <v>No</v>
      </c>
      <c r="E3" s="1" t="s">
        <v>148</v>
      </c>
      <c r="F3" s="1" t="s">
        <v>6</v>
      </c>
      <c r="G3" s="5">
        <v>688100</v>
      </c>
      <c r="H3" s="1" t="s">
        <v>38</v>
      </c>
    </row>
    <row r="4" spans="1:10" x14ac:dyDescent="0.25">
      <c r="A4" s="1" t="s">
        <v>194</v>
      </c>
      <c r="B4" s="1">
        <f>AVERAGE(36.553,36.995)</f>
        <v>36.774000000000001</v>
      </c>
      <c r="C4" s="1">
        <f t="shared" si="0"/>
        <v>101.64179104477613</v>
      </c>
      <c r="D4" s="1" t="str">
        <f t="shared" si="1"/>
        <v>No</v>
      </c>
      <c r="E4" s="1" t="s">
        <v>184</v>
      </c>
      <c r="F4" s="1" t="s">
        <v>6</v>
      </c>
      <c r="G4" s="5">
        <v>361800</v>
      </c>
      <c r="H4" s="1" t="s">
        <v>38</v>
      </c>
    </row>
    <row r="5" spans="1:10" x14ac:dyDescent="0.25">
      <c r="A5" s="1" t="s">
        <v>195</v>
      </c>
      <c r="B5" s="1">
        <f>AVERAGE(42.514,42.369)</f>
        <v>42.441500000000005</v>
      </c>
      <c r="C5" s="1">
        <f t="shared" si="0"/>
        <v>107.09437294978554</v>
      </c>
      <c r="D5" s="1" t="str">
        <f t="shared" si="1"/>
        <v>No</v>
      </c>
      <c r="E5" s="1" t="s">
        <v>185</v>
      </c>
      <c r="F5" s="1" t="s">
        <v>6</v>
      </c>
      <c r="G5" s="5">
        <v>396300</v>
      </c>
      <c r="H5" s="1" t="s">
        <v>38</v>
      </c>
    </row>
    <row r="6" spans="1:10" x14ac:dyDescent="0.25">
      <c r="A6" s="1" t="s">
        <v>197</v>
      </c>
      <c r="B6" s="1">
        <f>AVERAGE(37.72,37.654)</f>
        <v>37.686999999999998</v>
      </c>
      <c r="C6" s="1">
        <f t="shared" si="0"/>
        <v>92.755214050493947</v>
      </c>
      <c r="D6" s="1" t="str">
        <f t="shared" si="1"/>
        <v>Yes</v>
      </c>
      <c r="E6" s="1" t="s">
        <v>187</v>
      </c>
      <c r="F6" s="1" t="s">
        <v>6</v>
      </c>
      <c r="G6" s="5">
        <v>406306</v>
      </c>
      <c r="H6" s="1" t="s">
        <v>38</v>
      </c>
    </row>
    <row r="7" spans="1:10" x14ac:dyDescent="0.25">
      <c r="A7" s="1" t="s">
        <v>207</v>
      </c>
      <c r="B7" s="1">
        <f>AVERAGE(45.026,45.069)</f>
        <v>45.047499999999999</v>
      </c>
      <c r="C7" s="1">
        <f t="shared" si="0"/>
        <v>90.131052420968388</v>
      </c>
      <c r="D7" s="1" t="str">
        <f t="shared" si="1"/>
        <v>Yes</v>
      </c>
      <c r="E7" s="1" t="s">
        <v>211</v>
      </c>
      <c r="F7" s="1" t="s">
        <v>6</v>
      </c>
      <c r="G7" s="5">
        <v>499800</v>
      </c>
      <c r="H7" s="1" t="s">
        <v>38</v>
      </c>
    </row>
    <row r="8" spans="1:10" x14ac:dyDescent="0.25">
      <c r="A8" s="1" t="s">
        <v>244</v>
      </c>
      <c r="B8" s="1">
        <f>AVERAGE(63.554,63.839)</f>
        <v>63.6965</v>
      </c>
      <c r="C8" s="1">
        <f t="shared" si="0"/>
        <v>86.922079694323145</v>
      </c>
      <c r="D8" s="1" t="str">
        <f t="shared" si="1"/>
        <v>No</v>
      </c>
      <c r="E8" s="1" t="s">
        <v>245</v>
      </c>
      <c r="F8" s="1" t="s">
        <v>6</v>
      </c>
      <c r="G8" s="5">
        <v>732800</v>
      </c>
      <c r="H8" s="1" t="s">
        <v>38</v>
      </c>
    </row>
    <row r="9" spans="1:10" x14ac:dyDescent="0.25">
      <c r="A9" s="1" t="s">
        <v>249</v>
      </c>
      <c r="B9" s="1" t="s">
        <v>247</v>
      </c>
      <c r="C9" s="1">
        <v>100</v>
      </c>
      <c r="D9" s="1" t="str">
        <f t="shared" si="1"/>
        <v>No</v>
      </c>
      <c r="E9" s="1" t="s">
        <v>248</v>
      </c>
      <c r="F9" s="1" t="s">
        <v>247</v>
      </c>
      <c r="G9" s="5" t="s">
        <v>247</v>
      </c>
      <c r="H9" s="1" t="s">
        <v>38</v>
      </c>
      <c r="I9" s="6">
        <v>45222</v>
      </c>
    </row>
    <row r="10" spans="1:10" x14ac:dyDescent="0.25">
      <c r="A10" t="s">
        <v>263</v>
      </c>
      <c r="B10" s="1">
        <f>AVERAGE(25.729,26.479,25.876)</f>
        <v>26.028000000000002</v>
      </c>
      <c r="C10" s="1">
        <f t="shared" ref="C10:C23" si="2">B10/G10*1000000</f>
        <v>100.76655052264809</v>
      </c>
      <c r="D10" s="1" t="str">
        <f t="shared" ref="D10:D23" si="3">IF(ISERROR(FIND("/",E10)), "No", "Yes")</f>
        <v>No</v>
      </c>
      <c r="E10" t="s">
        <v>271</v>
      </c>
      <c r="F10" t="s">
        <v>96</v>
      </c>
      <c r="G10" s="5">
        <v>258300</v>
      </c>
      <c r="H10" s="1" t="s">
        <v>38</v>
      </c>
    </row>
    <row r="11" spans="1:10" x14ac:dyDescent="0.25">
      <c r="A11" t="s">
        <v>264</v>
      </c>
      <c r="B11" s="1">
        <f>AVERAGE(22.064,22.464)</f>
        <v>22.263999999999999</v>
      </c>
      <c r="C11" s="1">
        <f t="shared" si="2"/>
        <v>93.310980720871754</v>
      </c>
      <c r="D11" s="1" t="str">
        <f t="shared" si="3"/>
        <v>No</v>
      </c>
      <c r="E11" t="s">
        <v>272</v>
      </c>
      <c r="F11" t="s">
        <v>96</v>
      </c>
      <c r="G11" s="5">
        <v>238600</v>
      </c>
      <c r="H11" s="1" t="s">
        <v>38</v>
      </c>
    </row>
    <row r="12" spans="1:10" x14ac:dyDescent="0.25">
      <c r="A12" t="s">
        <v>265</v>
      </c>
      <c r="B12" s="1">
        <f>AVERAGE(22.7,21.627)</f>
        <v>22.163499999999999</v>
      </c>
      <c r="C12" s="1">
        <f t="shared" si="2"/>
        <v>103.18202979515829</v>
      </c>
      <c r="D12" s="1" t="str">
        <f t="shared" si="3"/>
        <v>No</v>
      </c>
      <c r="E12" t="s">
        <v>273</v>
      </c>
      <c r="F12" t="s">
        <v>96</v>
      </c>
      <c r="G12" s="5">
        <v>214800</v>
      </c>
      <c r="H12" s="1" t="s">
        <v>38</v>
      </c>
    </row>
    <row r="13" spans="1:10" x14ac:dyDescent="0.25">
      <c r="A13" t="s">
        <v>266</v>
      </c>
      <c r="B13" s="1">
        <f>AVERAGE(21.5,21.57)</f>
        <v>21.535</v>
      </c>
      <c r="C13" s="1">
        <f t="shared" si="2"/>
        <v>109.48144382308082</v>
      </c>
      <c r="D13" s="1" t="str">
        <f t="shared" si="3"/>
        <v>No</v>
      </c>
      <c r="E13" t="s">
        <v>274</v>
      </c>
      <c r="F13" t="s">
        <v>96</v>
      </c>
      <c r="G13" s="5">
        <v>196700</v>
      </c>
      <c r="H13" s="1" t="s">
        <v>38</v>
      </c>
    </row>
    <row r="14" spans="1:10" x14ac:dyDescent="0.25">
      <c r="A14" t="s">
        <v>267</v>
      </c>
      <c r="B14" s="1">
        <f>AVERAGE(54.052,51.423,51.486)</f>
        <v>52.32033333333333</v>
      </c>
      <c r="C14" s="1">
        <f t="shared" si="2"/>
        <v>97.015266703751763</v>
      </c>
      <c r="D14" s="1" t="str">
        <f t="shared" si="3"/>
        <v>No</v>
      </c>
      <c r="E14" t="s">
        <v>275</v>
      </c>
      <c r="F14" t="s">
        <v>96</v>
      </c>
      <c r="G14" s="5">
        <v>539300</v>
      </c>
      <c r="H14" s="1" t="s">
        <v>38</v>
      </c>
    </row>
    <row r="15" spans="1:10" x14ac:dyDescent="0.25">
      <c r="A15" t="s">
        <v>268</v>
      </c>
      <c r="B15" s="1">
        <f>AVERAGE(48.899,48.727)</f>
        <v>48.813000000000002</v>
      </c>
      <c r="C15" s="1">
        <f t="shared" si="2"/>
        <v>92.871004566210047</v>
      </c>
      <c r="D15" s="1" t="str">
        <f t="shared" si="3"/>
        <v>No</v>
      </c>
      <c r="E15" t="s">
        <v>276</v>
      </c>
      <c r="F15" t="s">
        <v>96</v>
      </c>
      <c r="G15" s="5">
        <v>525600</v>
      </c>
      <c r="H15" s="1" t="s">
        <v>38</v>
      </c>
    </row>
    <row r="16" spans="1:10" x14ac:dyDescent="0.25">
      <c r="A16" t="s">
        <v>269</v>
      </c>
      <c r="B16" s="1">
        <f>AVERAGE(46.891,46.236)</f>
        <v>46.563499999999998</v>
      </c>
      <c r="C16" s="1">
        <f t="shared" si="2"/>
        <v>91.37264521193093</v>
      </c>
      <c r="D16" s="1" t="str">
        <f t="shared" si="3"/>
        <v>No</v>
      </c>
      <c r="E16" t="s">
        <v>277</v>
      </c>
      <c r="F16" t="s">
        <v>96</v>
      </c>
      <c r="G16" s="5">
        <v>509600</v>
      </c>
      <c r="H16" s="1" t="s">
        <v>38</v>
      </c>
    </row>
    <row r="17" spans="1:9" x14ac:dyDescent="0.25">
      <c r="A17" t="s">
        <v>270</v>
      </c>
      <c r="B17" s="1">
        <f>AVERAGE(47.367,46.749)</f>
        <v>47.058</v>
      </c>
      <c r="C17" s="1">
        <f t="shared" si="2"/>
        <v>95.394283397526863</v>
      </c>
      <c r="D17" s="1" t="str">
        <f t="shared" si="3"/>
        <v>No</v>
      </c>
      <c r="E17" t="s">
        <v>278</v>
      </c>
      <c r="F17" t="s">
        <v>96</v>
      </c>
      <c r="G17" s="5">
        <v>493300</v>
      </c>
      <c r="H17" s="1" t="s">
        <v>38</v>
      </c>
    </row>
    <row r="18" spans="1:9" x14ac:dyDescent="0.25">
      <c r="A18" t="s">
        <v>281</v>
      </c>
      <c r="B18" s="1">
        <f>AVERAGE(16.063,15.978)</f>
        <v>16.020499999999998</v>
      </c>
      <c r="C18" s="1">
        <f t="shared" si="2"/>
        <v>101.0757097791798</v>
      </c>
      <c r="D18" s="1" t="str">
        <f t="shared" si="3"/>
        <v>No</v>
      </c>
      <c r="E18" t="s">
        <v>282</v>
      </c>
      <c r="F18" t="s">
        <v>96</v>
      </c>
      <c r="G18" s="5">
        <v>158500</v>
      </c>
      <c r="H18" s="1" t="s">
        <v>38</v>
      </c>
    </row>
    <row r="19" spans="1:9" x14ac:dyDescent="0.25">
      <c r="A19" t="s">
        <v>554</v>
      </c>
      <c r="B19" s="1">
        <f>AVERAGE(73.383,74.427)</f>
        <v>73.905000000000001</v>
      </c>
      <c r="C19" s="1">
        <f t="shared" si="2"/>
        <v>79.983766233766232</v>
      </c>
      <c r="D19" s="1" t="str">
        <f t="shared" si="3"/>
        <v>Yes</v>
      </c>
      <c r="E19" t="s">
        <v>555</v>
      </c>
      <c r="F19" t="s">
        <v>36</v>
      </c>
      <c r="G19" s="5">
        <v>924000</v>
      </c>
      <c r="H19" s="1" t="s">
        <v>38</v>
      </c>
      <c r="I19" s="7">
        <v>45776</v>
      </c>
    </row>
    <row r="20" spans="1:9" x14ac:dyDescent="0.25">
      <c r="A20" t="s">
        <v>590</v>
      </c>
      <c r="B20" s="1">
        <f>AVERAGE(80.923,81.275)</f>
        <v>81.099000000000004</v>
      </c>
      <c r="C20" s="1">
        <f t="shared" si="2"/>
        <v>80.19282112132899</v>
      </c>
      <c r="D20" s="1" t="str">
        <f t="shared" si="3"/>
        <v>Yes</v>
      </c>
      <c r="E20" t="s">
        <v>589</v>
      </c>
      <c r="F20" t="s">
        <v>96</v>
      </c>
      <c r="G20" s="5">
        <v>1011300</v>
      </c>
      <c r="H20" s="1" t="s">
        <v>38</v>
      </c>
      <c r="I20" s="7">
        <v>45566</v>
      </c>
    </row>
    <row r="21" spans="1:9" x14ac:dyDescent="0.25">
      <c r="A21" t="s">
        <v>625</v>
      </c>
      <c r="B21" s="1">
        <f>AVERAGE(69.879,68.809)</f>
        <v>69.343999999999994</v>
      </c>
      <c r="C21" s="1">
        <f t="shared" si="2"/>
        <v>87.888466413181234</v>
      </c>
      <c r="D21" s="1" t="str">
        <f t="shared" si="3"/>
        <v>Yes</v>
      </c>
      <c r="E21" t="s">
        <v>626</v>
      </c>
      <c r="F21" t="s">
        <v>6</v>
      </c>
      <c r="G21" s="5">
        <v>789000</v>
      </c>
      <c r="H21" s="1" t="s">
        <v>38</v>
      </c>
      <c r="I21" s="7">
        <v>45706</v>
      </c>
    </row>
    <row r="22" spans="1:9" x14ac:dyDescent="0.25">
      <c r="A22" t="s">
        <v>627</v>
      </c>
      <c r="B22" s="1">
        <f>AVERAGE(76.281,75.512)</f>
        <v>75.896500000000003</v>
      </c>
      <c r="C22" s="1">
        <f t="shared" si="2"/>
        <v>83.558846196190686</v>
      </c>
      <c r="D22" s="1" t="str">
        <f t="shared" si="3"/>
        <v>Yes</v>
      </c>
      <c r="E22" t="s">
        <v>628</v>
      </c>
      <c r="F22" t="s">
        <v>36</v>
      </c>
      <c r="G22" s="5">
        <v>908300</v>
      </c>
      <c r="H22" s="1" t="s">
        <v>38</v>
      </c>
      <c r="I22" s="7">
        <v>45706</v>
      </c>
    </row>
    <row r="23" spans="1:9" x14ac:dyDescent="0.25">
      <c r="A23" t="s">
        <v>629</v>
      </c>
      <c r="B23" s="1">
        <f>AVERAGE(51.533,52.996)</f>
        <v>52.264499999999998</v>
      </c>
      <c r="C23" s="1">
        <f t="shared" si="2"/>
        <v>92.997330960854086</v>
      </c>
      <c r="D23" s="1" t="str">
        <f t="shared" si="3"/>
        <v>Yes</v>
      </c>
      <c r="E23" t="s">
        <v>630</v>
      </c>
      <c r="F23" t="s">
        <v>96</v>
      </c>
      <c r="G23" s="5">
        <v>562000</v>
      </c>
      <c r="H23" s="1" t="s">
        <v>38</v>
      </c>
      <c r="I23" s="7">
        <v>45706</v>
      </c>
    </row>
    <row r="24" spans="1:9" x14ac:dyDescent="0.25">
      <c r="A24" t="s">
        <v>642</v>
      </c>
      <c r="B24" s="1">
        <f>AVERAGE(49.437,51.741,50.524)</f>
        <v>50.56733333333333</v>
      </c>
      <c r="C24" s="1">
        <f>B24/G24*1000000</f>
        <v>89.977461447212335</v>
      </c>
      <c r="D24" s="1" t="str">
        <f>IF(ISERROR(FIND("/",E24)), "No", "Yes")</f>
        <v>Yes</v>
      </c>
      <c r="E24" t="s">
        <v>630</v>
      </c>
      <c r="F24" t="s">
        <v>6</v>
      </c>
      <c r="G24" s="5">
        <v>562000</v>
      </c>
      <c r="H24" s="1" t="s">
        <v>38</v>
      </c>
      <c r="I24" s="7">
        <v>45727</v>
      </c>
    </row>
    <row r="25" spans="1:9" x14ac:dyDescent="0.25">
      <c r="A25"/>
      <c r="F25"/>
    </row>
    <row r="26" spans="1:9" x14ac:dyDescent="0.25">
      <c r="A26"/>
      <c r="F26"/>
    </row>
    <row r="27" spans="1:9" x14ac:dyDescent="0.25">
      <c r="A27"/>
      <c r="F27"/>
    </row>
    <row r="28" spans="1:9" x14ac:dyDescent="0.25">
      <c r="A28"/>
      <c r="F28"/>
    </row>
    <row r="29" spans="1:9" x14ac:dyDescent="0.25">
      <c r="A29"/>
      <c r="F29"/>
    </row>
    <row r="30" spans="1:9" x14ac:dyDescent="0.25">
      <c r="A30"/>
      <c r="F30"/>
    </row>
    <row r="31" spans="1:9" x14ac:dyDescent="0.25">
      <c r="F31"/>
    </row>
    <row r="32" spans="1:9" x14ac:dyDescent="0.25">
      <c r="F32"/>
    </row>
    <row r="33" spans="5:6" x14ac:dyDescent="0.25">
      <c r="F33"/>
    </row>
    <row r="34" spans="5:6" x14ac:dyDescent="0.25">
      <c r="F34"/>
    </row>
    <row r="35" spans="5:6" x14ac:dyDescent="0.25">
      <c r="F35"/>
    </row>
    <row r="36" spans="5:6" x14ac:dyDescent="0.25">
      <c r="F36"/>
    </row>
    <row r="37" spans="5:6" x14ac:dyDescent="0.25">
      <c r="F37"/>
    </row>
    <row r="38" spans="5:6" x14ac:dyDescent="0.25">
      <c r="F38"/>
    </row>
    <row r="39" spans="5:6" x14ac:dyDescent="0.25">
      <c r="F39"/>
    </row>
    <row r="40" spans="5:6" x14ac:dyDescent="0.25">
      <c r="F40"/>
    </row>
    <row r="41" spans="5:6" x14ac:dyDescent="0.25">
      <c r="F41"/>
    </row>
    <row r="42" spans="5:6" x14ac:dyDescent="0.25">
      <c r="F42"/>
    </row>
    <row r="43" spans="5:6" x14ac:dyDescent="0.25">
      <c r="F43"/>
    </row>
    <row r="44" spans="5:6" x14ac:dyDescent="0.25">
      <c r="F44"/>
    </row>
    <row r="45" spans="5:6" x14ac:dyDescent="0.25">
      <c r="F45"/>
    </row>
    <row r="46" spans="5:6" x14ac:dyDescent="0.25">
      <c r="E46"/>
      <c r="F46"/>
    </row>
    <row r="54" spans="5:5" x14ac:dyDescent="0.25">
      <c r="E54"/>
    </row>
    <row r="55" spans="5:5" x14ac:dyDescent="0.25">
      <c r="E55"/>
    </row>
    <row r="71" spans="5:5" x14ac:dyDescent="0.25">
      <c r="E71"/>
    </row>
    <row r="72" spans="5:5" x14ac:dyDescent="0.25">
      <c r="E72"/>
    </row>
    <row r="73" spans="5:5" x14ac:dyDescent="0.25">
      <c r="E73"/>
    </row>
    <row r="74" spans="5:5" x14ac:dyDescent="0.25">
      <c r="E74"/>
    </row>
    <row r="75" spans="5:5" x14ac:dyDescent="0.25">
      <c r="E75"/>
    </row>
    <row r="77" spans="5:5" x14ac:dyDescent="0.25">
      <c r="E77"/>
    </row>
    <row r="78" spans="5:5" x14ac:dyDescent="0.25">
      <c r="E78"/>
    </row>
    <row r="96" spans="5:5" x14ac:dyDescent="0.25">
      <c r="E96"/>
    </row>
    <row r="97" spans="5:5" x14ac:dyDescent="0.25">
      <c r="E97"/>
    </row>
    <row r="98" spans="5:5" x14ac:dyDescent="0.25">
      <c r="E98"/>
    </row>
    <row r="116" spans="5:9" x14ac:dyDescent="0.25">
      <c r="I116" s="6"/>
    </row>
    <row r="117" spans="5:9" x14ac:dyDescent="0.25">
      <c r="I117" s="6"/>
    </row>
    <row r="118" spans="5:9" x14ac:dyDescent="0.25">
      <c r="I118" s="6"/>
    </row>
    <row r="119" spans="5:9" x14ac:dyDescent="0.25">
      <c r="I119" s="6"/>
    </row>
    <row r="120" spans="5:9" x14ac:dyDescent="0.25">
      <c r="I120" s="6"/>
    </row>
    <row r="121" spans="5:9" x14ac:dyDescent="0.25">
      <c r="E121"/>
      <c r="I121" s="6"/>
    </row>
    <row r="122" spans="5:9" x14ac:dyDescent="0.25">
      <c r="I122" s="6"/>
    </row>
    <row r="123" spans="5:9" x14ac:dyDescent="0.25">
      <c r="I123" s="6"/>
    </row>
    <row r="138" spans="9:9" x14ac:dyDescent="0.25">
      <c r="I138" s="6"/>
    </row>
    <row r="139" spans="9:9" x14ac:dyDescent="0.25">
      <c r="I139" s="6"/>
    </row>
    <row r="140" spans="9:9" x14ac:dyDescent="0.25">
      <c r="I140" s="6"/>
    </row>
  </sheetData>
  <conditionalFormatting sqref="C1:C2 C25:C1048576">
    <cfRule type="colorScale" priority="22">
      <colorScale>
        <cfvo type="num" val="50"/>
        <cfvo type="num" val="100"/>
        <cfvo type="num" val="200"/>
        <color theme="5" tint="-0.249977111117893"/>
        <color theme="0"/>
        <color theme="4" tint="-0.249977111117893"/>
      </colorScale>
    </cfRule>
  </conditionalFormatting>
  <conditionalFormatting sqref="C3">
    <cfRule type="colorScale" priority="17">
      <colorScale>
        <cfvo type="num" val="50"/>
        <cfvo type="num" val="100"/>
        <cfvo type="num" val="200"/>
        <color theme="5" tint="-0.249977111117893"/>
        <color theme="0"/>
        <color theme="4" tint="-0.249977111117893"/>
      </colorScale>
    </cfRule>
  </conditionalFormatting>
  <conditionalFormatting sqref="C4:C5">
    <cfRule type="colorScale" priority="14">
      <colorScale>
        <cfvo type="num" val="50"/>
        <cfvo type="num" val="100"/>
        <cfvo type="num" val="200"/>
        <color theme="5" tint="-0.249977111117893"/>
        <color theme="0"/>
        <color theme="4" tint="-0.249977111117893"/>
      </colorScale>
    </cfRule>
  </conditionalFormatting>
  <conditionalFormatting sqref="C6">
    <cfRule type="colorScale" priority="11">
      <colorScale>
        <cfvo type="num" val="50"/>
        <cfvo type="num" val="100"/>
        <cfvo type="num" val="200"/>
        <color theme="5" tint="-0.249977111117893"/>
        <color theme="0"/>
        <color theme="4" tint="-0.249977111117893"/>
      </colorScale>
    </cfRule>
  </conditionalFormatting>
  <conditionalFormatting sqref="C7">
    <cfRule type="colorScale" priority="8">
      <colorScale>
        <cfvo type="num" val="50"/>
        <cfvo type="num" val="100"/>
        <cfvo type="num" val="200"/>
        <color theme="5" tint="-0.249977111117893"/>
        <color theme="0"/>
        <color theme="4" tint="-0.249977111117893"/>
      </colorScale>
    </cfRule>
  </conditionalFormatting>
  <conditionalFormatting sqref="C8:C24">
    <cfRule type="colorScale" priority="5">
      <colorScale>
        <cfvo type="num" val="50"/>
        <cfvo type="num" val="100"/>
        <cfvo type="num" val="200"/>
        <color theme="5" tint="-0.249977111117893"/>
        <color theme="0"/>
        <color theme="4" tint="-0.249977111117893"/>
      </colorScale>
    </cfRule>
  </conditionalFormatting>
  <conditionalFormatting sqref="D3:D123 H3:H123">
    <cfRule type="expression" dxfId="43" priority="1">
      <formula>FIND("Yes", D3)</formula>
    </cfRule>
    <cfRule type="expression" dxfId="42" priority="3">
      <formula>FIND("No", D3)</formula>
    </cfRule>
  </conditionalFormatting>
  <conditionalFormatting sqref="H138:H139 D138:D140">
    <cfRule type="expression" dxfId="41" priority="19">
      <formula>FIND("Yes", D138)</formula>
    </cfRule>
    <cfRule type="expression" dxfId="40" priority="20">
      <formula>FIND("No", D138)</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8B353-1DD3-466A-8D35-C647801A04D2}">
  <sheetPr codeName="Sheet7"/>
  <dimension ref="A2:J140"/>
  <sheetViews>
    <sheetView zoomScaleNormal="100" workbookViewId="0">
      <selection activeCell="B15" sqref="B15"/>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ustomWidth="1"/>
    <col min="7" max="7" width="20.7109375" style="5" customWidth="1"/>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s="1" t="s">
        <v>160</v>
      </c>
      <c r="B3" s="1">
        <f>AVERAGE(64.125,65.804)</f>
        <v>64.964500000000001</v>
      </c>
      <c r="C3" s="1">
        <f t="shared" ref="C3:C15" si="0">B3/G3*1000000</f>
        <v>85.603505073132169</v>
      </c>
      <c r="D3" s="1" t="str">
        <f t="shared" ref="D3:D15" si="1">IF(ISERROR(FIND("/",E3)), "No", "Yes")</f>
        <v>No</v>
      </c>
      <c r="E3" s="1" t="s">
        <v>140</v>
      </c>
      <c r="F3" s="1" t="s">
        <v>6</v>
      </c>
      <c r="G3" s="5">
        <v>758900</v>
      </c>
      <c r="H3" s="1" t="s">
        <v>38</v>
      </c>
    </row>
    <row r="4" spans="1:10" x14ac:dyDescent="0.25">
      <c r="A4" s="1" t="s">
        <v>161</v>
      </c>
      <c r="B4" s="1">
        <f>AVERAGE(61.78,62.276)</f>
        <v>62.028000000000006</v>
      </c>
      <c r="C4" s="1">
        <f t="shared" si="0"/>
        <v>88.890799656061915</v>
      </c>
      <c r="D4" s="1" t="str">
        <f t="shared" si="1"/>
        <v>No</v>
      </c>
      <c r="E4" s="1" t="s">
        <v>141</v>
      </c>
      <c r="F4" s="1" t="s">
        <v>6</v>
      </c>
      <c r="G4" s="5">
        <v>697800</v>
      </c>
      <c r="H4" s="1" t="s">
        <v>38</v>
      </c>
    </row>
    <row r="5" spans="1:10" x14ac:dyDescent="0.25">
      <c r="A5" s="1" t="s">
        <v>165</v>
      </c>
      <c r="B5" s="1">
        <f>AVERAGE(46.352,46.599)</f>
        <v>46.475499999999997</v>
      </c>
      <c r="C5" s="1">
        <f t="shared" si="0"/>
        <v>85.590239410681392</v>
      </c>
      <c r="D5" s="1" t="str">
        <f t="shared" si="1"/>
        <v>No</v>
      </c>
      <c r="E5" t="s">
        <v>143</v>
      </c>
      <c r="F5" s="1" t="s">
        <v>6</v>
      </c>
      <c r="G5" s="5">
        <v>543000</v>
      </c>
      <c r="H5" s="1" t="s">
        <v>38</v>
      </c>
    </row>
    <row r="6" spans="1:10" x14ac:dyDescent="0.25">
      <c r="A6" s="1" t="s">
        <v>166</v>
      </c>
      <c r="B6" s="1">
        <f>AVERAGE(48.798,49.125,49.478)</f>
        <v>49.13366666666667</v>
      </c>
      <c r="C6" s="1">
        <f t="shared" si="0"/>
        <v>88.833242933767252</v>
      </c>
      <c r="D6" s="1" t="str">
        <f t="shared" si="1"/>
        <v>No</v>
      </c>
      <c r="E6" t="s">
        <v>144</v>
      </c>
      <c r="F6" s="1" t="s">
        <v>6</v>
      </c>
      <c r="G6" s="5">
        <v>553100</v>
      </c>
      <c r="H6" s="1" t="s">
        <v>38</v>
      </c>
    </row>
    <row r="7" spans="1:10" x14ac:dyDescent="0.25">
      <c r="A7" s="1" t="s">
        <v>167</v>
      </c>
      <c r="B7" s="1">
        <f>AVERAGE(49.76,49.982)</f>
        <v>49.870999999999995</v>
      </c>
      <c r="C7" s="1">
        <f t="shared" si="0"/>
        <v>88.864932287954375</v>
      </c>
      <c r="D7" s="1" t="str">
        <f t="shared" si="1"/>
        <v>No</v>
      </c>
      <c r="E7" t="s">
        <v>145</v>
      </c>
      <c r="F7" s="1" t="s">
        <v>6</v>
      </c>
      <c r="G7" s="5">
        <v>561200</v>
      </c>
      <c r="H7" s="1" t="s">
        <v>38</v>
      </c>
    </row>
    <row r="8" spans="1:10" x14ac:dyDescent="0.25">
      <c r="A8" s="1" t="s">
        <v>171</v>
      </c>
      <c r="B8" s="1">
        <f>AVERAGE(66.096,65.987,65.688,65.863)</f>
        <v>65.908500000000004</v>
      </c>
      <c r="C8" s="1">
        <f t="shared" si="0"/>
        <v>86.721710526315789</v>
      </c>
      <c r="D8" s="1" t="str">
        <f t="shared" si="1"/>
        <v>No</v>
      </c>
      <c r="E8" t="s">
        <v>149</v>
      </c>
      <c r="F8" s="1" t="s">
        <v>6</v>
      </c>
      <c r="G8" s="5">
        <v>760000</v>
      </c>
      <c r="H8" s="1" t="s">
        <v>38</v>
      </c>
    </row>
    <row r="9" spans="1:10" x14ac:dyDescent="0.25">
      <c r="A9" s="1" t="s">
        <v>173</v>
      </c>
      <c r="B9" s="1">
        <f>AVERAGE(29.371,29.463)</f>
        <v>29.417000000000002</v>
      </c>
      <c r="C9" s="1">
        <f t="shared" si="0"/>
        <v>92.915350600126345</v>
      </c>
      <c r="D9" s="1" t="str">
        <f t="shared" si="1"/>
        <v>No</v>
      </c>
      <c r="E9" s="1" t="s">
        <v>151</v>
      </c>
      <c r="F9" s="1" t="s">
        <v>6</v>
      </c>
      <c r="G9" s="5">
        <v>316600</v>
      </c>
      <c r="H9" s="1" t="s">
        <v>38</v>
      </c>
    </row>
    <row r="10" spans="1:10" x14ac:dyDescent="0.25">
      <c r="A10" s="1" t="s">
        <v>174</v>
      </c>
      <c r="B10" s="1">
        <f>AVERAGE(34.098,33.869)</f>
        <v>33.983499999999999</v>
      </c>
      <c r="C10" s="1">
        <f t="shared" si="0"/>
        <v>102.6691842900302</v>
      </c>
      <c r="D10" s="1" t="str">
        <f t="shared" si="1"/>
        <v>No</v>
      </c>
      <c r="E10" s="1" t="s">
        <v>152</v>
      </c>
      <c r="F10" s="1" t="s">
        <v>6</v>
      </c>
      <c r="G10" s="5">
        <v>331000</v>
      </c>
      <c r="H10" s="1" t="s">
        <v>38</v>
      </c>
    </row>
    <row r="11" spans="1:10" x14ac:dyDescent="0.25">
      <c r="A11" s="1" t="s">
        <v>198</v>
      </c>
      <c r="B11" s="1">
        <f>AVERAGE(36.12, 35.572)</f>
        <v>35.846000000000004</v>
      </c>
      <c r="C11" s="1">
        <f t="shared" si="0"/>
        <v>99.267251167247309</v>
      </c>
      <c r="D11" s="1" t="str">
        <f t="shared" si="1"/>
        <v>Yes</v>
      </c>
      <c r="E11" s="1" t="s">
        <v>188</v>
      </c>
      <c r="F11" s="1" t="s">
        <v>6</v>
      </c>
      <c r="G11" s="5">
        <v>361106</v>
      </c>
      <c r="H11" s="1" t="s">
        <v>38</v>
      </c>
    </row>
    <row r="12" spans="1:10" x14ac:dyDescent="0.25">
      <c r="A12" s="1" t="s">
        <v>208</v>
      </c>
      <c r="B12" s="1">
        <f>AVERAGE(53.52,52.43,52.243)</f>
        <v>52.731000000000002</v>
      </c>
      <c r="C12" s="1">
        <f t="shared" si="0"/>
        <v>91.041091160221001</v>
      </c>
      <c r="D12" s="1" t="str">
        <f t="shared" si="1"/>
        <v>Yes</v>
      </c>
      <c r="E12" s="1" t="s">
        <v>212</v>
      </c>
      <c r="F12" s="1" t="s">
        <v>6</v>
      </c>
      <c r="G12" s="5">
        <v>579200</v>
      </c>
      <c r="H12" s="1" t="s">
        <v>38</v>
      </c>
    </row>
    <row r="13" spans="1:10" x14ac:dyDescent="0.25">
      <c r="A13" t="s">
        <v>587</v>
      </c>
      <c r="B13" s="1">
        <f>AVERAGE(87.588,86.911)</f>
        <v>87.249499999999998</v>
      </c>
      <c r="C13" s="1">
        <f t="shared" si="0"/>
        <v>138.22797845373893</v>
      </c>
      <c r="D13" s="1" t="str">
        <f t="shared" si="1"/>
        <v>Yes</v>
      </c>
      <c r="E13" t="s">
        <v>588</v>
      </c>
      <c r="F13" s="1" t="s">
        <v>36</v>
      </c>
      <c r="G13" s="5">
        <v>631200</v>
      </c>
      <c r="H13" s="1" t="s">
        <v>38</v>
      </c>
      <c r="I13" s="7">
        <v>45566</v>
      </c>
    </row>
    <row r="14" spans="1:10" x14ac:dyDescent="0.25">
      <c r="A14" t="s">
        <v>682</v>
      </c>
      <c r="B14" s="1">
        <f>AVERAGE(59.567,59.075)</f>
        <v>59.320999999999998</v>
      </c>
      <c r="C14" s="1">
        <f t="shared" si="0"/>
        <v>83.351131094562305</v>
      </c>
      <c r="D14" s="1" t="str">
        <f t="shared" si="1"/>
        <v>Yes</v>
      </c>
      <c r="E14" t="s">
        <v>684</v>
      </c>
      <c r="F14" s="1" t="s">
        <v>6</v>
      </c>
      <c r="G14" s="5">
        <v>711700</v>
      </c>
      <c r="H14" s="1" t="s">
        <v>38</v>
      </c>
      <c r="I14" s="7">
        <v>46063</v>
      </c>
    </row>
    <row r="15" spans="1:10" x14ac:dyDescent="0.25">
      <c r="A15" t="s">
        <v>683</v>
      </c>
      <c r="B15" s="1">
        <f>AVERAGE(77.729,76.675)</f>
        <v>77.201999999999998</v>
      </c>
      <c r="C15" s="1">
        <f t="shared" si="0"/>
        <v>79.262833675564693</v>
      </c>
      <c r="D15" s="1" t="str">
        <f t="shared" si="1"/>
        <v>Yes</v>
      </c>
      <c r="E15" t="s">
        <v>685</v>
      </c>
      <c r="F15" s="1" t="s">
        <v>36</v>
      </c>
      <c r="G15" s="5">
        <v>974000</v>
      </c>
      <c r="H15" s="1" t="s">
        <v>38</v>
      </c>
      <c r="I15" s="7">
        <v>46063</v>
      </c>
    </row>
    <row r="16" spans="1:10" x14ac:dyDescent="0.25">
      <c r="A16"/>
      <c r="E16"/>
      <c r="F16"/>
    </row>
    <row r="17" spans="1:6" x14ac:dyDescent="0.25">
      <c r="A17"/>
      <c r="E17"/>
      <c r="F17"/>
    </row>
    <row r="18" spans="1:6" x14ac:dyDescent="0.25">
      <c r="A18"/>
      <c r="E18"/>
      <c r="F18"/>
    </row>
    <row r="19" spans="1:6" x14ac:dyDescent="0.25">
      <c r="A19"/>
      <c r="E19"/>
      <c r="F19"/>
    </row>
    <row r="20" spans="1:6" x14ac:dyDescent="0.25">
      <c r="A20"/>
      <c r="E20"/>
      <c r="F20"/>
    </row>
    <row r="21" spans="1:6" x14ac:dyDescent="0.25">
      <c r="A21"/>
      <c r="F21"/>
    </row>
    <row r="22" spans="1:6" x14ac:dyDescent="0.25">
      <c r="A22"/>
      <c r="F22"/>
    </row>
    <row r="23" spans="1:6" x14ac:dyDescent="0.25">
      <c r="A23"/>
      <c r="F23"/>
    </row>
    <row r="24" spans="1:6" x14ac:dyDescent="0.25">
      <c r="A24"/>
      <c r="F24"/>
    </row>
    <row r="25" spans="1:6" x14ac:dyDescent="0.25">
      <c r="A25"/>
      <c r="F25"/>
    </row>
    <row r="26" spans="1:6" x14ac:dyDescent="0.25">
      <c r="A26"/>
      <c r="F26"/>
    </row>
    <row r="27" spans="1:6" x14ac:dyDescent="0.25">
      <c r="A27"/>
      <c r="F27"/>
    </row>
    <row r="28" spans="1:6" x14ac:dyDescent="0.25">
      <c r="A28"/>
      <c r="F28"/>
    </row>
    <row r="29" spans="1:6" x14ac:dyDescent="0.25">
      <c r="A29"/>
      <c r="F29"/>
    </row>
    <row r="30" spans="1:6" x14ac:dyDescent="0.25">
      <c r="A30"/>
      <c r="F30"/>
    </row>
    <row r="31" spans="1:6" x14ac:dyDescent="0.25">
      <c r="F31"/>
    </row>
    <row r="32" spans="1:6" x14ac:dyDescent="0.25">
      <c r="F32"/>
    </row>
    <row r="33" spans="5:6" x14ac:dyDescent="0.25">
      <c r="F33"/>
    </row>
    <row r="34" spans="5:6" x14ac:dyDescent="0.25">
      <c r="F34"/>
    </row>
    <row r="35" spans="5:6" x14ac:dyDescent="0.25">
      <c r="F35"/>
    </row>
    <row r="36" spans="5:6" x14ac:dyDescent="0.25">
      <c r="F36"/>
    </row>
    <row r="37" spans="5:6" x14ac:dyDescent="0.25">
      <c r="F37"/>
    </row>
    <row r="38" spans="5:6" x14ac:dyDescent="0.25">
      <c r="F38"/>
    </row>
    <row r="39" spans="5:6" x14ac:dyDescent="0.25">
      <c r="F39"/>
    </row>
    <row r="40" spans="5:6" x14ac:dyDescent="0.25">
      <c r="F40"/>
    </row>
    <row r="41" spans="5:6" x14ac:dyDescent="0.25">
      <c r="F41"/>
    </row>
    <row r="42" spans="5:6" x14ac:dyDescent="0.25">
      <c r="F42"/>
    </row>
    <row r="43" spans="5:6" x14ac:dyDescent="0.25">
      <c r="F43"/>
    </row>
    <row r="44" spans="5:6" x14ac:dyDescent="0.25">
      <c r="F44"/>
    </row>
    <row r="45" spans="5:6" x14ac:dyDescent="0.25">
      <c r="F45"/>
    </row>
    <row r="46" spans="5:6" x14ac:dyDescent="0.25">
      <c r="E46"/>
      <c r="F46"/>
    </row>
    <row r="54" spans="5:5" x14ac:dyDescent="0.25">
      <c r="E54"/>
    </row>
    <row r="55" spans="5:5" x14ac:dyDescent="0.25">
      <c r="E55"/>
    </row>
    <row r="71" spans="5:5" x14ac:dyDescent="0.25">
      <c r="E71"/>
    </row>
    <row r="72" spans="5:5" x14ac:dyDescent="0.25">
      <c r="E72"/>
    </row>
    <row r="73" spans="5:5" x14ac:dyDescent="0.25">
      <c r="E73"/>
    </row>
    <row r="74" spans="5:5" x14ac:dyDescent="0.25">
      <c r="E74"/>
    </row>
    <row r="75" spans="5:5" x14ac:dyDescent="0.25">
      <c r="E75"/>
    </row>
    <row r="77" spans="5:5" x14ac:dyDescent="0.25">
      <c r="E77"/>
    </row>
    <row r="78" spans="5:5" x14ac:dyDescent="0.25">
      <c r="E78"/>
    </row>
    <row r="96" spans="5:5" x14ac:dyDescent="0.25">
      <c r="E96"/>
    </row>
    <row r="97" spans="5:5" x14ac:dyDescent="0.25">
      <c r="E97"/>
    </row>
    <row r="98" spans="5:5" x14ac:dyDescent="0.25">
      <c r="E98"/>
    </row>
    <row r="116" spans="5:9" x14ac:dyDescent="0.25">
      <c r="I116" s="6"/>
    </row>
    <row r="117" spans="5:9" x14ac:dyDescent="0.25">
      <c r="I117" s="6"/>
    </row>
    <row r="118" spans="5:9" x14ac:dyDescent="0.25">
      <c r="I118" s="6"/>
    </row>
    <row r="119" spans="5:9" x14ac:dyDescent="0.25">
      <c r="I119" s="6"/>
    </row>
    <row r="120" spans="5:9" x14ac:dyDescent="0.25">
      <c r="I120" s="6"/>
    </row>
    <row r="121" spans="5:9" x14ac:dyDescent="0.25">
      <c r="E121"/>
      <c r="I121" s="6"/>
    </row>
    <row r="122" spans="5:9" x14ac:dyDescent="0.25">
      <c r="I122" s="6"/>
    </row>
    <row r="123" spans="5:9" x14ac:dyDescent="0.25">
      <c r="I123" s="6"/>
    </row>
    <row r="138" spans="9:9" x14ac:dyDescent="0.25">
      <c r="I138" s="6"/>
    </row>
    <row r="139" spans="9:9" x14ac:dyDescent="0.25">
      <c r="I139" s="6"/>
    </row>
    <row r="140" spans="9:9" x14ac:dyDescent="0.25">
      <c r="I140" s="6"/>
    </row>
  </sheetData>
  <conditionalFormatting sqref="C1:C2 C16:C1048576">
    <cfRule type="colorScale" priority="22">
      <colorScale>
        <cfvo type="num" val="50"/>
        <cfvo type="num" val="100"/>
        <cfvo type="num" val="200"/>
        <color theme="5" tint="-0.249977111117893"/>
        <color theme="0"/>
        <color theme="4" tint="-0.249977111117893"/>
      </colorScale>
    </cfRule>
  </conditionalFormatting>
  <conditionalFormatting sqref="C3:C4">
    <cfRule type="colorScale" priority="17">
      <colorScale>
        <cfvo type="num" val="50"/>
        <cfvo type="num" val="100"/>
        <cfvo type="num" val="200"/>
        <color theme="5" tint="-0.249977111117893"/>
        <color theme="0"/>
        <color theme="4" tint="-0.249977111117893"/>
      </colorScale>
    </cfRule>
  </conditionalFormatting>
  <conditionalFormatting sqref="C5:C7">
    <cfRule type="colorScale" priority="14">
      <colorScale>
        <cfvo type="num" val="50"/>
        <cfvo type="num" val="100"/>
        <cfvo type="num" val="200"/>
        <color theme="5" tint="-0.249977111117893"/>
        <color theme="0"/>
        <color theme="4" tint="-0.249977111117893"/>
      </colorScale>
    </cfRule>
  </conditionalFormatting>
  <conditionalFormatting sqref="C8">
    <cfRule type="colorScale" priority="11">
      <colorScale>
        <cfvo type="num" val="50"/>
        <cfvo type="num" val="100"/>
        <cfvo type="num" val="200"/>
        <color theme="5" tint="-0.249977111117893"/>
        <color theme="0"/>
        <color theme="4" tint="-0.249977111117893"/>
      </colorScale>
    </cfRule>
  </conditionalFormatting>
  <conditionalFormatting sqref="C9:C10">
    <cfRule type="colorScale" priority="8">
      <colorScale>
        <cfvo type="num" val="50"/>
        <cfvo type="num" val="100"/>
        <cfvo type="num" val="200"/>
        <color theme="5" tint="-0.249977111117893"/>
        <color theme="0"/>
        <color theme="4" tint="-0.249977111117893"/>
      </colorScale>
    </cfRule>
  </conditionalFormatting>
  <conditionalFormatting sqref="C11">
    <cfRule type="colorScale" priority="5">
      <colorScale>
        <cfvo type="num" val="50"/>
        <cfvo type="num" val="100"/>
        <cfvo type="num" val="200"/>
        <color theme="5" tint="-0.249977111117893"/>
        <color theme="0"/>
        <color theme="4" tint="-0.249977111117893"/>
      </colorScale>
    </cfRule>
  </conditionalFormatting>
  <conditionalFormatting sqref="C12:C15">
    <cfRule type="colorScale" priority="2">
      <colorScale>
        <cfvo type="num" val="50"/>
        <cfvo type="num" val="100"/>
        <cfvo type="num" val="200"/>
        <color theme="5" tint="-0.249977111117893"/>
        <color theme="0"/>
        <color theme="4" tint="-0.249977111117893"/>
      </colorScale>
    </cfRule>
  </conditionalFormatting>
  <conditionalFormatting sqref="D3:D123 H3:H123">
    <cfRule type="expression" dxfId="39" priority="1">
      <formula>FIND("Yes", D3)</formula>
    </cfRule>
    <cfRule type="expression" dxfId="38" priority="3">
      <formula>FIND("No", D3)</formula>
    </cfRule>
  </conditionalFormatting>
  <conditionalFormatting sqref="H138:H139 D138:D140">
    <cfRule type="expression" dxfId="37" priority="19">
      <formula>FIND("Yes", D138)</formula>
    </cfRule>
    <cfRule type="expression" dxfId="36" priority="20">
      <formula>FIND("No", D138)</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A171-D2B7-40A4-82DF-52D49CD9C5A5}">
  <sheetPr codeName="Sheet8"/>
  <dimension ref="A2:J140"/>
  <sheetViews>
    <sheetView zoomScale="90" zoomScaleNormal="90" workbookViewId="0">
      <selection activeCell="E11" sqref="E11"/>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ustomWidth="1"/>
    <col min="7" max="7" width="20.7109375" style="5" customWidth="1"/>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s="1" t="s">
        <v>159</v>
      </c>
      <c r="B3" s="1">
        <f>AVERAGE(58.463,60.377,58.466)</f>
        <v>59.102000000000004</v>
      </c>
      <c r="C3" s="1">
        <f>B3/G3*1000000</f>
        <v>86.787077826725408</v>
      </c>
      <c r="D3" s="1" t="str">
        <f>IF(ISERROR(FIND("/",E3)), "No", "Yes")</f>
        <v>No</v>
      </c>
      <c r="E3" s="1" t="s">
        <v>139</v>
      </c>
      <c r="F3" s="1" t="s">
        <v>6</v>
      </c>
      <c r="G3" s="5">
        <v>681000</v>
      </c>
      <c r="H3" s="1" t="s">
        <v>38</v>
      </c>
    </row>
    <row r="4" spans="1:10" x14ac:dyDescent="0.25">
      <c r="A4" s="1" t="s">
        <v>177</v>
      </c>
      <c r="B4" s="1">
        <f>AVERAGE(76.684,76.236)</f>
        <v>76.460000000000008</v>
      </c>
      <c r="C4" s="1">
        <f>B4/G4*1000000</f>
        <v>82.596953656692236</v>
      </c>
      <c r="D4" s="1" t="str">
        <f>IF(ISERROR(FIND("/",E4)), "No", "Yes")</f>
        <v>No</v>
      </c>
      <c r="E4" s="1" t="s">
        <v>142</v>
      </c>
      <c r="F4" s="1" t="s">
        <v>6</v>
      </c>
      <c r="G4" s="5">
        <v>925700</v>
      </c>
      <c r="H4" s="1" t="s">
        <v>38</v>
      </c>
    </row>
    <row r="5" spans="1:10" x14ac:dyDescent="0.25">
      <c r="A5" s="1" t="s">
        <v>175</v>
      </c>
      <c r="B5" s="1">
        <f>AVERAGE(34.063,33.687)</f>
        <v>33.875</v>
      </c>
      <c r="C5" s="1">
        <f>B5/G5*1000000</f>
        <v>92.076651263930415</v>
      </c>
      <c r="D5" s="1" t="str">
        <f>IF(ISERROR(FIND("/",E5)), "No", "Yes")</f>
        <v>No</v>
      </c>
      <c r="E5" s="1" t="s">
        <v>153</v>
      </c>
      <c r="F5" s="1" t="s">
        <v>6</v>
      </c>
      <c r="G5" s="5">
        <v>367900</v>
      </c>
      <c r="H5" s="1" t="s">
        <v>38</v>
      </c>
    </row>
    <row r="6" spans="1:10" x14ac:dyDescent="0.25">
      <c r="A6" s="1" t="s">
        <v>176</v>
      </c>
      <c r="B6" s="1">
        <f>AVERAGE(37.663,37.432)</f>
        <v>37.547499999999999</v>
      </c>
      <c r="C6" s="1">
        <f>B6/G6*1000000</f>
        <v>96.029411764705884</v>
      </c>
      <c r="D6" s="1" t="str">
        <f>IF(ISERROR(FIND("/",E6)), "No", "Yes")</f>
        <v>No</v>
      </c>
      <c r="E6" s="1" t="s">
        <v>154</v>
      </c>
      <c r="F6" s="1" t="s">
        <v>6</v>
      </c>
      <c r="G6" s="5">
        <v>391000</v>
      </c>
      <c r="H6" s="1" t="s">
        <v>38</v>
      </c>
    </row>
    <row r="7" spans="1:10" x14ac:dyDescent="0.25">
      <c r="A7" s="1" t="s">
        <v>204</v>
      </c>
      <c r="B7" s="1">
        <v>28.881</v>
      </c>
      <c r="C7" s="1">
        <f>B7/G7*1000000</f>
        <v>85.47203314590115</v>
      </c>
      <c r="D7" s="1" t="str">
        <f>IF(ISERROR(FIND("/",E7)), "No", "Yes")</f>
        <v>No</v>
      </c>
      <c r="E7" t="s">
        <v>201</v>
      </c>
      <c r="F7" s="1" t="s">
        <v>96</v>
      </c>
      <c r="G7" s="5">
        <v>337900</v>
      </c>
      <c r="H7" s="1" t="s">
        <v>38</v>
      </c>
    </row>
    <row r="8" spans="1:10" x14ac:dyDescent="0.25">
      <c r="A8"/>
      <c r="E8"/>
    </row>
    <row r="9" spans="1:10" x14ac:dyDescent="0.25">
      <c r="A9"/>
      <c r="E9"/>
    </row>
    <row r="10" spans="1:10" x14ac:dyDescent="0.25">
      <c r="A10"/>
      <c r="E10"/>
    </row>
    <row r="11" spans="1:10" x14ac:dyDescent="0.25">
      <c r="A11"/>
      <c r="E11"/>
    </row>
    <row r="12" spans="1:10" x14ac:dyDescent="0.25">
      <c r="A12"/>
      <c r="E12"/>
      <c r="F12"/>
    </row>
    <row r="13" spans="1:10" x14ac:dyDescent="0.25">
      <c r="A13"/>
      <c r="E13"/>
      <c r="F13"/>
    </row>
    <row r="14" spans="1:10" x14ac:dyDescent="0.25">
      <c r="A14"/>
      <c r="E14"/>
      <c r="F14"/>
    </row>
    <row r="15" spans="1:10" x14ac:dyDescent="0.25">
      <c r="A15"/>
      <c r="E15"/>
      <c r="F15"/>
    </row>
    <row r="16" spans="1:10" x14ac:dyDescent="0.25">
      <c r="A16"/>
      <c r="E16"/>
      <c r="F16"/>
    </row>
    <row r="17" spans="1:6" x14ac:dyDescent="0.25">
      <c r="A17"/>
      <c r="E17"/>
      <c r="F17"/>
    </row>
    <row r="18" spans="1:6" x14ac:dyDescent="0.25">
      <c r="A18"/>
      <c r="E18"/>
      <c r="F18"/>
    </row>
    <row r="19" spans="1:6" x14ac:dyDescent="0.25">
      <c r="A19"/>
      <c r="E19"/>
      <c r="F19"/>
    </row>
    <row r="20" spans="1:6" x14ac:dyDescent="0.25">
      <c r="A20"/>
      <c r="E20"/>
      <c r="F20"/>
    </row>
    <row r="21" spans="1:6" x14ac:dyDescent="0.25">
      <c r="A21"/>
      <c r="F21"/>
    </row>
    <row r="22" spans="1:6" x14ac:dyDescent="0.25">
      <c r="A22"/>
      <c r="F22"/>
    </row>
    <row r="23" spans="1:6" x14ac:dyDescent="0.25">
      <c r="A23"/>
      <c r="F23"/>
    </row>
    <row r="24" spans="1:6" x14ac:dyDescent="0.25">
      <c r="A24"/>
      <c r="F24"/>
    </row>
    <row r="25" spans="1:6" x14ac:dyDescent="0.25">
      <c r="A25"/>
      <c r="F25"/>
    </row>
    <row r="26" spans="1:6" x14ac:dyDescent="0.25">
      <c r="A26"/>
      <c r="F26"/>
    </row>
    <row r="27" spans="1:6" x14ac:dyDescent="0.25">
      <c r="A27"/>
      <c r="F27"/>
    </row>
    <row r="28" spans="1:6" x14ac:dyDescent="0.25">
      <c r="A28"/>
      <c r="F28"/>
    </row>
    <row r="29" spans="1:6" x14ac:dyDescent="0.25">
      <c r="A29"/>
      <c r="F29"/>
    </row>
    <row r="30" spans="1:6" x14ac:dyDescent="0.25">
      <c r="A30"/>
      <c r="F30"/>
    </row>
    <row r="31" spans="1:6" x14ac:dyDescent="0.25">
      <c r="F31"/>
    </row>
    <row r="32" spans="1:6" x14ac:dyDescent="0.25">
      <c r="F32"/>
    </row>
    <row r="33" spans="5:6" x14ac:dyDescent="0.25">
      <c r="F33"/>
    </row>
    <row r="34" spans="5:6" x14ac:dyDescent="0.25">
      <c r="F34"/>
    </row>
    <row r="35" spans="5:6" x14ac:dyDescent="0.25">
      <c r="F35"/>
    </row>
    <row r="36" spans="5:6" x14ac:dyDescent="0.25">
      <c r="F36"/>
    </row>
    <row r="37" spans="5:6" x14ac:dyDescent="0.25">
      <c r="F37"/>
    </row>
    <row r="38" spans="5:6" x14ac:dyDescent="0.25">
      <c r="F38"/>
    </row>
    <row r="39" spans="5:6" x14ac:dyDescent="0.25">
      <c r="F39"/>
    </row>
    <row r="40" spans="5:6" x14ac:dyDescent="0.25">
      <c r="F40"/>
    </row>
    <row r="41" spans="5:6" x14ac:dyDescent="0.25">
      <c r="F41"/>
    </row>
    <row r="42" spans="5:6" x14ac:dyDescent="0.25">
      <c r="F42"/>
    </row>
    <row r="43" spans="5:6" x14ac:dyDescent="0.25">
      <c r="F43"/>
    </row>
    <row r="44" spans="5:6" x14ac:dyDescent="0.25">
      <c r="F44"/>
    </row>
    <row r="45" spans="5:6" x14ac:dyDescent="0.25">
      <c r="F45"/>
    </row>
    <row r="46" spans="5:6" x14ac:dyDescent="0.25">
      <c r="E46"/>
      <c r="F46"/>
    </row>
    <row r="54" spans="5:5" x14ac:dyDescent="0.25">
      <c r="E54"/>
    </row>
    <row r="55" spans="5:5" x14ac:dyDescent="0.25">
      <c r="E55"/>
    </row>
    <row r="71" spans="5:5" x14ac:dyDescent="0.25">
      <c r="E71"/>
    </row>
    <row r="72" spans="5:5" x14ac:dyDescent="0.25">
      <c r="E72"/>
    </row>
    <row r="73" spans="5:5" x14ac:dyDescent="0.25">
      <c r="E73"/>
    </row>
    <row r="74" spans="5:5" x14ac:dyDescent="0.25">
      <c r="E74"/>
    </row>
    <row r="75" spans="5:5" x14ac:dyDescent="0.25">
      <c r="E75"/>
    </row>
    <row r="77" spans="5:5" x14ac:dyDescent="0.25">
      <c r="E77"/>
    </row>
    <row r="78" spans="5:5" x14ac:dyDescent="0.25">
      <c r="E78"/>
    </row>
    <row r="96" spans="5:5" x14ac:dyDescent="0.25">
      <c r="E96"/>
    </row>
    <row r="97" spans="5:5" x14ac:dyDescent="0.25">
      <c r="E97"/>
    </row>
    <row r="98" spans="5:5" x14ac:dyDescent="0.25">
      <c r="E98"/>
    </row>
    <row r="116" spans="5:9" x14ac:dyDescent="0.25">
      <c r="I116" s="6"/>
    </row>
    <row r="117" spans="5:9" x14ac:dyDescent="0.25">
      <c r="I117" s="6"/>
    </row>
    <row r="118" spans="5:9" x14ac:dyDescent="0.25">
      <c r="I118" s="6"/>
    </row>
    <row r="119" spans="5:9" x14ac:dyDescent="0.25">
      <c r="I119" s="6"/>
    </row>
    <row r="120" spans="5:9" x14ac:dyDescent="0.25">
      <c r="I120" s="6"/>
    </row>
    <row r="121" spans="5:9" x14ac:dyDescent="0.25">
      <c r="E121"/>
      <c r="I121" s="6"/>
    </row>
    <row r="122" spans="5:9" x14ac:dyDescent="0.25">
      <c r="I122" s="6"/>
    </row>
    <row r="123" spans="5:9" x14ac:dyDescent="0.25">
      <c r="I123" s="6"/>
    </row>
    <row r="138" spans="9:9" x14ac:dyDescent="0.25">
      <c r="I138" s="6"/>
    </row>
    <row r="139" spans="9:9" x14ac:dyDescent="0.25">
      <c r="I139" s="6"/>
    </row>
    <row r="140" spans="9:9" x14ac:dyDescent="0.25">
      <c r="I140" s="6"/>
    </row>
  </sheetData>
  <conditionalFormatting sqref="C1:C2 C8:C1048576">
    <cfRule type="colorScale" priority="16">
      <colorScale>
        <cfvo type="num" val="50"/>
        <cfvo type="num" val="100"/>
        <cfvo type="num" val="200"/>
        <color theme="5" tint="-0.249977111117893"/>
        <color theme="0"/>
        <color theme="4" tint="-0.249977111117893"/>
      </colorScale>
    </cfRule>
  </conditionalFormatting>
  <conditionalFormatting sqref="C3">
    <cfRule type="colorScale" priority="11">
      <colorScale>
        <cfvo type="num" val="50"/>
        <cfvo type="num" val="100"/>
        <cfvo type="num" val="200"/>
        <color theme="5" tint="-0.249977111117893"/>
        <color theme="0"/>
        <color theme="4" tint="-0.249977111117893"/>
      </colorScale>
    </cfRule>
  </conditionalFormatting>
  <conditionalFormatting sqref="C4">
    <cfRule type="colorScale" priority="8">
      <colorScale>
        <cfvo type="num" val="50"/>
        <cfvo type="num" val="100"/>
        <cfvo type="num" val="200"/>
        <color theme="5" tint="-0.249977111117893"/>
        <color theme="0"/>
        <color theme="4" tint="-0.249977111117893"/>
      </colorScale>
    </cfRule>
  </conditionalFormatting>
  <conditionalFormatting sqref="C5:C6">
    <cfRule type="colorScale" priority="5">
      <colorScale>
        <cfvo type="num" val="50"/>
        <cfvo type="num" val="100"/>
        <cfvo type="num" val="200"/>
        <color theme="5" tint="-0.249977111117893"/>
        <color theme="0"/>
        <color theme="4" tint="-0.249977111117893"/>
      </colorScale>
    </cfRule>
  </conditionalFormatting>
  <conditionalFormatting sqref="C7">
    <cfRule type="colorScale" priority="2">
      <colorScale>
        <cfvo type="num" val="50"/>
        <cfvo type="num" val="100"/>
        <cfvo type="num" val="200"/>
        <color theme="5" tint="-0.249977111117893"/>
        <color theme="0"/>
        <color theme="4" tint="-0.249977111117893"/>
      </colorScale>
    </cfRule>
  </conditionalFormatting>
  <conditionalFormatting sqref="D3:D123 H3:H123">
    <cfRule type="expression" dxfId="35" priority="1">
      <formula>FIND("Yes", D3)</formula>
    </cfRule>
    <cfRule type="expression" dxfId="34" priority="3">
      <formula>FIND("No", D3)</formula>
    </cfRule>
  </conditionalFormatting>
  <conditionalFormatting sqref="H138:H139 D138:D140">
    <cfRule type="expression" dxfId="33" priority="13">
      <formula>FIND("Yes", D138)</formula>
    </cfRule>
    <cfRule type="expression" dxfId="32" priority="14">
      <formula>FIND("No", D138)</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02B7B-8F1E-4207-8C59-99E3E2CDE613}">
  <sheetPr codeName="Sheet9"/>
  <dimension ref="A2:J140"/>
  <sheetViews>
    <sheetView zoomScale="90" zoomScaleNormal="90" workbookViewId="0">
      <selection activeCell="C42" sqref="C42"/>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ustomWidth="1"/>
    <col min="7" max="7" width="20.7109375" style="5" customWidth="1"/>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s="1" t="s">
        <v>172</v>
      </c>
      <c r="B3" s="1">
        <f>AVERAGE(61.957,63.302)</f>
        <v>62.6295</v>
      </c>
      <c r="C3" s="1">
        <f t="shared" ref="C3:C12" si="0">B3/G3*1000000</f>
        <v>85.536055722480199</v>
      </c>
      <c r="D3" s="1" t="str">
        <f t="shared" ref="D3:D12" si="1">IF(ISERROR(FIND("/",E3)), "No", "Yes")</f>
        <v>No</v>
      </c>
      <c r="E3" t="s">
        <v>150</v>
      </c>
      <c r="F3" s="1" t="s">
        <v>6</v>
      </c>
      <c r="G3" s="5">
        <v>732200</v>
      </c>
      <c r="H3" s="1" t="s">
        <v>38</v>
      </c>
    </row>
    <row r="4" spans="1:10" x14ac:dyDescent="0.25">
      <c r="A4" s="1" t="s">
        <v>191</v>
      </c>
      <c r="B4" s="1">
        <f>AVERAGE(31.71,31.942)</f>
        <v>31.826000000000001</v>
      </c>
      <c r="C4" s="1">
        <f t="shared" si="0"/>
        <v>98.046826863832408</v>
      </c>
      <c r="D4" s="1" t="str">
        <f t="shared" si="1"/>
        <v>No</v>
      </c>
      <c r="E4" s="1" t="s">
        <v>181</v>
      </c>
      <c r="F4" s="1" t="s">
        <v>6</v>
      </c>
      <c r="G4" s="5">
        <v>324600</v>
      </c>
      <c r="H4" s="1" t="s">
        <v>38</v>
      </c>
    </row>
    <row r="5" spans="1:10" x14ac:dyDescent="0.25">
      <c r="A5" s="1" t="s">
        <v>192</v>
      </c>
      <c r="B5" s="1">
        <f>AVERAGE(42.582,43.561)</f>
        <v>43.0715</v>
      </c>
      <c r="C5" s="1">
        <f t="shared" si="0"/>
        <v>114.46053680574011</v>
      </c>
      <c r="D5" s="1" t="str">
        <f t="shared" si="1"/>
        <v>No</v>
      </c>
      <c r="E5" s="1" t="s">
        <v>182</v>
      </c>
      <c r="F5" s="1" t="s">
        <v>6</v>
      </c>
      <c r="G5" s="5">
        <v>376300</v>
      </c>
      <c r="H5" s="1" t="s">
        <v>38</v>
      </c>
    </row>
    <row r="6" spans="1:10" x14ac:dyDescent="0.25">
      <c r="A6" s="1" t="s">
        <v>199</v>
      </c>
      <c r="B6" s="1">
        <f>AVERAGE(35.15,35.134)</f>
        <v>35.141999999999996</v>
      </c>
      <c r="C6" s="1">
        <f t="shared" si="0"/>
        <v>95.208422512774106</v>
      </c>
      <c r="D6" s="1" t="str">
        <f t="shared" si="1"/>
        <v>Yes</v>
      </c>
      <c r="E6" s="1" t="s">
        <v>189</v>
      </c>
      <c r="F6" s="1" t="s">
        <v>6</v>
      </c>
      <c r="G6" s="5">
        <v>369106</v>
      </c>
      <c r="H6" s="1" t="s">
        <v>38</v>
      </c>
    </row>
    <row r="7" spans="1:10" x14ac:dyDescent="0.25">
      <c r="A7" s="1" t="s">
        <v>209</v>
      </c>
      <c r="B7" s="1">
        <f>AVERAGE(48.402,48.18)</f>
        <v>48.290999999999997</v>
      </c>
      <c r="C7" s="1">
        <f t="shared" si="0"/>
        <v>88.786541643684501</v>
      </c>
      <c r="D7" s="1" t="str">
        <f t="shared" si="1"/>
        <v>Yes</v>
      </c>
      <c r="E7" s="1" t="s">
        <v>213</v>
      </c>
      <c r="F7" s="1" t="s">
        <v>6</v>
      </c>
      <c r="G7" s="5">
        <v>543900</v>
      </c>
      <c r="H7" s="1" t="s">
        <v>38</v>
      </c>
    </row>
    <row r="8" spans="1:10" x14ac:dyDescent="0.25">
      <c r="A8" t="s">
        <v>433</v>
      </c>
      <c r="B8" s="1">
        <f>AVERAGE(68.036,68.351)</f>
        <v>68.1935</v>
      </c>
      <c r="C8" s="1">
        <f t="shared" si="0"/>
        <v>95.162573262629081</v>
      </c>
      <c r="D8" s="1" t="str">
        <f t="shared" si="1"/>
        <v>No</v>
      </c>
      <c r="E8" t="s">
        <v>438</v>
      </c>
      <c r="F8" s="1" t="s">
        <v>6</v>
      </c>
      <c r="G8" s="5">
        <v>716600</v>
      </c>
      <c r="H8" s="1" t="s">
        <v>38</v>
      </c>
      <c r="I8" s="7">
        <v>45408</v>
      </c>
    </row>
    <row r="9" spans="1:10" x14ac:dyDescent="0.25">
      <c r="A9" t="s">
        <v>434</v>
      </c>
      <c r="B9" s="1">
        <f>AVERAGE(32.737,33.577)</f>
        <v>33.156999999999996</v>
      </c>
      <c r="C9" s="1">
        <f t="shared" si="0"/>
        <v>99.720300751879691</v>
      </c>
      <c r="D9" s="1" t="str">
        <f t="shared" si="1"/>
        <v>No</v>
      </c>
      <c r="E9" t="s">
        <v>439</v>
      </c>
      <c r="F9" s="1" t="s">
        <v>6</v>
      </c>
      <c r="G9" s="5">
        <v>332500</v>
      </c>
      <c r="H9" s="1" t="s">
        <v>38</v>
      </c>
      <c r="I9" s="7">
        <v>45408</v>
      </c>
    </row>
    <row r="10" spans="1:10" x14ac:dyDescent="0.25">
      <c r="A10" t="s">
        <v>435</v>
      </c>
      <c r="B10" s="1">
        <f>AVERAGE(39.501,38.699)</f>
        <v>39.099999999999994</v>
      </c>
      <c r="C10" s="1">
        <f t="shared" si="0"/>
        <v>102.70554242185446</v>
      </c>
      <c r="D10" s="1" t="str">
        <f t="shared" si="1"/>
        <v>No</v>
      </c>
      <c r="E10" t="s">
        <v>440</v>
      </c>
      <c r="F10" s="1" t="s">
        <v>6</v>
      </c>
      <c r="G10" s="5">
        <v>380700</v>
      </c>
      <c r="H10" s="1" t="s">
        <v>38</v>
      </c>
      <c r="I10" s="7">
        <v>45408</v>
      </c>
    </row>
    <row r="11" spans="1:10" x14ac:dyDescent="0.25">
      <c r="A11" t="s">
        <v>436</v>
      </c>
      <c r="B11" s="1">
        <f>AVERAGE(34.14,33.499)</f>
        <v>33.819500000000005</v>
      </c>
      <c r="C11" s="1">
        <f t="shared" si="0"/>
        <v>98.714244016345617</v>
      </c>
      <c r="D11" s="1" t="str">
        <f t="shared" si="1"/>
        <v>No</v>
      </c>
      <c r="E11" t="s">
        <v>441</v>
      </c>
      <c r="F11" s="1" t="s">
        <v>96</v>
      </c>
      <c r="G11" s="5">
        <v>342600</v>
      </c>
      <c r="H11" s="1" t="s">
        <v>38</v>
      </c>
      <c r="I11" s="7">
        <v>45408</v>
      </c>
    </row>
    <row r="12" spans="1:10" x14ac:dyDescent="0.25">
      <c r="A12" t="s">
        <v>437</v>
      </c>
      <c r="B12" s="1">
        <f>AVERAGE(29.118,29.763)</f>
        <v>29.4405</v>
      </c>
      <c r="C12" s="1">
        <f t="shared" si="0"/>
        <v>84.867396944364373</v>
      </c>
      <c r="D12" s="1" t="str">
        <f t="shared" si="1"/>
        <v>No</v>
      </c>
      <c r="E12" t="s">
        <v>442</v>
      </c>
      <c r="F12" s="1" t="s">
        <v>96</v>
      </c>
      <c r="G12" s="5">
        <v>346900</v>
      </c>
      <c r="H12" s="1" t="s">
        <v>38</v>
      </c>
      <c r="I12" s="7">
        <v>45408</v>
      </c>
    </row>
    <row r="13" spans="1:10" x14ac:dyDescent="0.25">
      <c r="A13"/>
      <c r="E13"/>
      <c r="F13"/>
    </row>
    <row r="14" spans="1:10" x14ac:dyDescent="0.25">
      <c r="A14"/>
      <c r="E14"/>
      <c r="F14"/>
    </row>
    <row r="15" spans="1:10" x14ac:dyDescent="0.25">
      <c r="A15"/>
      <c r="E15"/>
      <c r="F15"/>
    </row>
    <row r="16" spans="1:10" x14ac:dyDescent="0.25">
      <c r="A16"/>
      <c r="E16"/>
      <c r="F16"/>
    </row>
    <row r="17" spans="1:6" x14ac:dyDescent="0.25">
      <c r="A17"/>
      <c r="E17"/>
      <c r="F17"/>
    </row>
    <row r="18" spans="1:6" x14ac:dyDescent="0.25">
      <c r="A18"/>
      <c r="E18"/>
      <c r="F18"/>
    </row>
    <row r="19" spans="1:6" x14ac:dyDescent="0.25">
      <c r="A19"/>
      <c r="E19"/>
      <c r="F19"/>
    </row>
    <row r="20" spans="1:6" x14ac:dyDescent="0.25">
      <c r="A20"/>
      <c r="E20"/>
      <c r="F20"/>
    </row>
    <row r="21" spans="1:6" x14ac:dyDescent="0.25">
      <c r="A21"/>
      <c r="F21"/>
    </row>
    <row r="22" spans="1:6" x14ac:dyDescent="0.25">
      <c r="A22"/>
      <c r="F22"/>
    </row>
    <row r="23" spans="1:6" x14ac:dyDescent="0.25">
      <c r="A23"/>
      <c r="F23"/>
    </row>
    <row r="24" spans="1:6" x14ac:dyDescent="0.25">
      <c r="A24"/>
      <c r="F24"/>
    </row>
    <row r="25" spans="1:6" x14ac:dyDescent="0.25">
      <c r="A25"/>
      <c r="F25"/>
    </row>
    <row r="26" spans="1:6" x14ac:dyDescent="0.25">
      <c r="A26"/>
      <c r="F26"/>
    </row>
    <row r="27" spans="1:6" x14ac:dyDescent="0.25">
      <c r="A27"/>
      <c r="F27"/>
    </row>
    <row r="28" spans="1:6" x14ac:dyDescent="0.25">
      <c r="A28"/>
      <c r="F28"/>
    </row>
    <row r="29" spans="1:6" x14ac:dyDescent="0.25">
      <c r="A29"/>
      <c r="F29"/>
    </row>
    <row r="30" spans="1:6" x14ac:dyDescent="0.25">
      <c r="A30"/>
      <c r="F30"/>
    </row>
    <row r="31" spans="1:6" x14ac:dyDescent="0.25">
      <c r="F31"/>
    </row>
    <row r="32" spans="1:6" x14ac:dyDescent="0.25">
      <c r="F32"/>
    </row>
    <row r="33" spans="5:6" x14ac:dyDescent="0.25">
      <c r="F33"/>
    </row>
    <row r="34" spans="5:6" x14ac:dyDescent="0.25">
      <c r="F34"/>
    </row>
    <row r="35" spans="5:6" x14ac:dyDescent="0.25">
      <c r="F35"/>
    </row>
    <row r="36" spans="5:6" x14ac:dyDescent="0.25">
      <c r="F36"/>
    </row>
    <row r="37" spans="5:6" x14ac:dyDescent="0.25">
      <c r="F37"/>
    </row>
    <row r="38" spans="5:6" x14ac:dyDescent="0.25">
      <c r="F38"/>
    </row>
    <row r="39" spans="5:6" x14ac:dyDescent="0.25">
      <c r="F39"/>
    </row>
    <row r="40" spans="5:6" x14ac:dyDescent="0.25">
      <c r="F40"/>
    </row>
    <row r="41" spans="5:6" x14ac:dyDescent="0.25">
      <c r="F41"/>
    </row>
    <row r="42" spans="5:6" x14ac:dyDescent="0.25">
      <c r="F42"/>
    </row>
    <row r="43" spans="5:6" x14ac:dyDescent="0.25">
      <c r="F43"/>
    </row>
    <row r="44" spans="5:6" x14ac:dyDescent="0.25">
      <c r="F44"/>
    </row>
    <row r="45" spans="5:6" x14ac:dyDescent="0.25">
      <c r="F45"/>
    </row>
    <row r="46" spans="5:6" x14ac:dyDescent="0.25">
      <c r="E46"/>
      <c r="F46"/>
    </row>
    <row r="54" spans="5:5" x14ac:dyDescent="0.25">
      <c r="E54"/>
    </row>
    <row r="55" spans="5:5" x14ac:dyDescent="0.25">
      <c r="E55"/>
    </row>
    <row r="71" spans="5:5" x14ac:dyDescent="0.25">
      <c r="E71"/>
    </row>
    <row r="72" spans="5:5" x14ac:dyDescent="0.25">
      <c r="E72"/>
    </row>
    <row r="73" spans="5:5" x14ac:dyDescent="0.25">
      <c r="E73"/>
    </row>
    <row r="74" spans="5:5" x14ac:dyDescent="0.25">
      <c r="E74"/>
    </row>
    <row r="75" spans="5:5" x14ac:dyDescent="0.25">
      <c r="E75"/>
    </row>
    <row r="77" spans="5:5" x14ac:dyDescent="0.25">
      <c r="E77"/>
    </row>
    <row r="78" spans="5:5" x14ac:dyDescent="0.25">
      <c r="E78"/>
    </row>
    <row r="96" spans="5:5" x14ac:dyDescent="0.25">
      <c r="E96"/>
    </row>
    <row r="97" spans="5:5" x14ac:dyDescent="0.25">
      <c r="E97"/>
    </row>
    <row r="98" spans="5:5" x14ac:dyDescent="0.25">
      <c r="E98"/>
    </row>
    <row r="116" spans="5:9" x14ac:dyDescent="0.25">
      <c r="I116" s="6"/>
    </row>
    <row r="117" spans="5:9" x14ac:dyDescent="0.25">
      <c r="I117" s="6"/>
    </row>
    <row r="118" spans="5:9" x14ac:dyDescent="0.25">
      <c r="I118" s="6"/>
    </row>
    <row r="119" spans="5:9" x14ac:dyDescent="0.25">
      <c r="I119" s="6"/>
    </row>
    <row r="120" spans="5:9" x14ac:dyDescent="0.25">
      <c r="I120" s="6"/>
    </row>
    <row r="121" spans="5:9" x14ac:dyDescent="0.25">
      <c r="E121"/>
      <c r="I121" s="6"/>
    </row>
    <row r="122" spans="5:9" x14ac:dyDescent="0.25">
      <c r="I122" s="6"/>
    </row>
    <row r="123" spans="5:9" x14ac:dyDescent="0.25">
      <c r="I123" s="6"/>
    </row>
    <row r="138" spans="9:9" x14ac:dyDescent="0.25">
      <c r="I138" s="6"/>
    </row>
    <row r="139" spans="9:9" x14ac:dyDescent="0.25">
      <c r="I139" s="6"/>
    </row>
    <row r="140" spans="9:9" x14ac:dyDescent="0.25">
      <c r="I140" s="6"/>
    </row>
  </sheetData>
  <conditionalFormatting sqref="C1:C2 C13:C1048576">
    <cfRule type="colorScale" priority="16">
      <colorScale>
        <cfvo type="num" val="50"/>
        <cfvo type="num" val="100"/>
        <cfvo type="num" val="200"/>
        <color theme="5" tint="-0.249977111117893"/>
        <color theme="0"/>
        <color theme="4" tint="-0.249977111117893"/>
      </colorScale>
    </cfRule>
  </conditionalFormatting>
  <conditionalFormatting sqref="C3">
    <cfRule type="colorScale" priority="11">
      <colorScale>
        <cfvo type="num" val="50"/>
        <cfvo type="num" val="100"/>
        <cfvo type="num" val="200"/>
        <color theme="5" tint="-0.249977111117893"/>
        <color theme="0"/>
        <color theme="4" tint="-0.249977111117893"/>
      </colorScale>
    </cfRule>
  </conditionalFormatting>
  <conditionalFormatting sqref="C4:C5">
    <cfRule type="colorScale" priority="8">
      <colorScale>
        <cfvo type="num" val="50"/>
        <cfvo type="num" val="100"/>
        <cfvo type="num" val="200"/>
        <color theme="5" tint="-0.249977111117893"/>
        <color theme="0"/>
        <color theme="4" tint="-0.249977111117893"/>
      </colorScale>
    </cfRule>
  </conditionalFormatting>
  <conditionalFormatting sqref="C6">
    <cfRule type="colorScale" priority="5">
      <colorScale>
        <cfvo type="num" val="50"/>
        <cfvo type="num" val="100"/>
        <cfvo type="num" val="200"/>
        <color theme="5" tint="-0.249977111117893"/>
        <color theme="0"/>
        <color theme="4" tint="-0.249977111117893"/>
      </colorScale>
    </cfRule>
  </conditionalFormatting>
  <conditionalFormatting sqref="C7:C12">
    <cfRule type="colorScale" priority="2">
      <colorScale>
        <cfvo type="num" val="50"/>
        <cfvo type="num" val="100"/>
        <cfvo type="num" val="200"/>
        <color theme="5" tint="-0.249977111117893"/>
        <color theme="0"/>
        <color theme="4" tint="-0.249977111117893"/>
      </colorScale>
    </cfRule>
  </conditionalFormatting>
  <conditionalFormatting sqref="D3:D123 H3:H123">
    <cfRule type="expression" dxfId="31" priority="1">
      <formula>FIND("Yes", D3)</formula>
    </cfRule>
    <cfRule type="expression" dxfId="30" priority="3">
      <formula>FIND("No", D3)</formula>
    </cfRule>
  </conditionalFormatting>
  <conditionalFormatting sqref="H138:H139 D138:D140">
    <cfRule type="expression" dxfId="29" priority="13">
      <formula>FIND("Yes", D138)</formula>
    </cfRule>
    <cfRule type="expression" dxfId="28" priority="14">
      <formula>FIND("No", D138)</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C5042-4D06-4E52-920D-695D83D49318}">
  <sheetPr codeName="Sheet10"/>
  <dimension ref="A2:J139"/>
  <sheetViews>
    <sheetView zoomScale="90" zoomScaleNormal="90" workbookViewId="0">
      <selection activeCell="E5" sqref="E5"/>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ustomWidth="1"/>
    <col min="7" max="7" width="20.7109375" style="5" customWidth="1"/>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s="1" t="s">
        <v>403</v>
      </c>
      <c r="B3" s="1">
        <f>AVERAGE(61.361,64.064,62.04)</f>
        <v>62.488333333333323</v>
      </c>
      <c r="C3" s="1">
        <f>B3/G3*1000000</f>
        <v>91.29047966885804</v>
      </c>
      <c r="D3" s="1" t="str">
        <f t="shared" ref="D3:D10" si="0">IF(ISERROR(FIND("/",E3)), "No", "Yes")</f>
        <v>No</v>
      </c>
      <c r="E3" t="s">
        <v>376</v>
      </c>
      <c r="F3" s="1" t="s">
        <v>6</v>
      </c>
      <c r="G3" s="5">
        <v>684500</v>
      </c>
      <c r="H3" s="1" t="s">
        <v>38</v>
      </c>
    </row>
    <row r="4" spans="1:10" x14ac:dyDescent="0.25">
      <c r="A4" s="1" t="s">
        <v>617</v>
      </c>
      <c r="B4" s="1">
        <f>AVERAGE(23.72,24.092)</f>
        <v>23.905999999999999</v>
      </c>
      <c r="C4" s="1">
        <f>B4/G4*1000000</f>
        <v>104.80491012713721</v>
      </c>
      <c r="D4" s="1" t="str">
        <f t="shared" si="0"/>
        <v>No</v>
      </c>
      <c r="E4" s="1" t="s">
        <v>377</v>
      </c>
      <c r="F4" s="1" t="s">
        <v>96</v>
      </c>
      <c r="G4" s="5">
        <v>228100</v>
      </c>
      <c r="H4" s="1" t="s">
        <v>38</v>
      </c>
    </row>
    <row r="5" spans="1:10" x14ac:dyDescent="0.25">
      <c r="A5" s="1" t="s">
        <v>374</v>
      </c>
      <c r="B5" s="1">
        <f>AVERAGE(23.987,24.073)</f>
        <v>24.03</v>
      </c>
      <c r="C5" s="1">
        <f>B5/G5*1000000</f>
        <v>99.585578118524666</v>
      </c>
      <c r="D5" s="1" t="str">
        <f t="shared" si="0"/>
        <v>No</v>
      </c>
      <c r="E5" s="1" t="s">
        <v>378</v>
      </c>
      <c r="F5" s="1" t="s">
        <v>6</v>
      </c>
      <c r="G5" s="5">
        <v>241300</v>
      </c>
      <c r="H5" s="1" t="s">
        <v>38</v>
      </c>
    </row>
    <row r="6" spans="1:10" x14ac:dyDescent="0.25">
      <c r="A6" s="1" t="s">
        <v>443</v>
      </c>
      <c r="B6" s="1" t="s">
        <v>623</v>
      </c>
      <c r="C6" s="1" t="s">
        <v>624</v>
      </c>
      <c r="D6" s="1" t="str">
        <f t="shared" si="0"/>
        <v>No</v>
      </c>
      <c r="E6" s="1" t="s">
        <v>444</v>
      </c>
      <c r="F6" s="1" t="s">
        <v>445</v>
      </c>
      <c r="G6" s="5">
        <v>228100</v>
      </c>
      <c r="H6" s="1" t="s">
        <v>38</v>
      </c>
      <c r="I6" s="7">
        <v>45419</v>
      </c>
    </row>
    <row r="7" spans="1:10" x14ac:dyDescent="0.25">
      <c r="A7" t="s">
        <v>550</v>
      </c>
      <c r="B7" s="1">
        <f>AVERAGE(33.418,33.223)</f>
        <v>33.320499999999996</v>
      </c>
      <c r="C7" s="1">
        <f>B7/G7*1000000</f>
        <v>116.58432643121556</v>
      </c>
      <c r="D7" s="1" t="str">
        <f t="shared" si="0"/>
        <v>Yes</v>
      </c>
      <c r="E7" t="s">
        <v>551</v>
      </c>
      <c r="F7" s="1" t="s">
        <v>6</v>
      </c>
      <c r="G7" s="5">
        <v>285806</v>
      </c>
      <c r="H7" s="1" t="s">
        <v>38</v>
      </c>
      <c r="I7" s="7">
        <v>45506</v>
      </c>
    </row>
    <row r="8" spans="1:10" x14ac:dyDescent="0.25">
      <c r="A8" t="s">
        <v>603</v>
      </c>
      <c r="B8" s="1">
        <f>AVERAGE(61.678,61.706)</f>
        <v>61.692</v>
      </c>
      <c r="C8" s="1">
        <f>B8/G8*1000000</f>
        <v>89.48651000870322</v>
      </c>
      <c r="D8" s="1" t="str">
        <f t="shared" si="0"/>
        <v>Yes</v>
      </c>
      <c r="E8" t="s">
        <v>552</v>
      </c>
      <c r="F8" s="1" t="s">
        <v>6</v>
      </c>
      <c r="G8" s="5">
        <v>689400</v>
      </c>
      <c r="H8" s="1" t="s">
        <v>38</v>
      </c>
      <c r="I8" s="7">
        <v>45506</v>
      </c>
    </row>
    <row r="9" spans="1:10" x14ac:dyDescent="0.25">
      <c r="A9" t="s">
        <v>608</v>
      </c>
      <c r="B9" s="1">
        <f>AVERAGE(68.101,69.588)</f>
        <v>68.844499999999996</v>
      </c>
      <c r="C9" s="1">
        <f>B9/G9*1000000</f>
        <v>89.026897711108234</v>
      </c>
      <c r="D9" s="1" t="str">
        <f t="shared" si="0"/>
        <v>Yes</v>
      </c>
      <c r="E9" t="s">
        <v>609</v>
      </c>
      <c r="F9" s="1" t="s">
        <v>36</v>
      </c>
      <c r="G9" s="5">
        <v>773300</v>
      </c>
      <c r="H9" s="1" t="s">
        <v>38</v>
      </c>
      <c r="I9" s="7">
        <v>45694</v>
      </c>
    </row>
    <row r="10" spans="1:10" x14ac:dyDescent="0.25">
      <c r="A10" t="s">
        <v>633</v>
      </c>
      <c r="B10" s="1">
        <f>AVERAGE(59.797,60.049)</f>
        <v>59.923000000000002</v>
      </c>
      <c r="C10" s="1">
        <f>B10/G10*1000000</f>
        <v>89.597787081339703</v>
      </c>
      <c r="D10" s="1" t="str">
        <f t="shared" si="0"/>
        <v>Yes</v>
      </c>
      <c r="E10" t="s">
        <v>634</v>
      </c>
      <c r="F10" s="1" t="s">
        <v>6</v>
      </c>
      <c r="G10" s="5">
        <v>668800</v>
      </c>
      <c r="H10" s="1" t="s">
        <v>38</v>
      </c>
      <c r="I10" s="7">
        <v>45706</v>
      </c>
    </row>
    <row r="11" spans="1:10" x14ac:dyDescent="0.25">
      <c r="A11" t="s">
        <v>631</v>
      </c>
      <c r="B11" s="1">
        <f>AVERAGE(56.752,56.518)</f>
        <v>56.635000000000005</v>
      </c>
      <c r="C11" s="1">
        <f>B11/G11*1000000</f>
        <v>82.091607479344844</v>
      </c>
      <c r="D11" s="1" t="str">
        <f>IF(ISERROR(FIND("/",E11)), "No", "Yes")</f>
        <v>Yes</v>
      </c>
      <c r="E11" t="s">
        <v>632</v>
      </c>
      <c r="F11" s="1" t="s">
        <v>6</v>
      </c>
      <c r="G11" s="5">
        <v>689900</v>
      </c>
      <c r="H11" s="1" t="s">
        <v>38</v>
      </c>
      <c r="I11" s="7">
        <v>45706</v>
      </c>
    </row>
    <row r="12" spans="1:10" x14ac:dyDescent="0.25">
      <c r="A12"/>
      <c r="E12"/>
      <c r="F12"/>
    </row>
    <row r="13" spans="1:10" x14ac:dyDescent="0.25">
      <c r="A13"/>
      <c r="E13"/>
      <c r="F13"/>
    </row>
    <row r="14" spans="1:10" x14ac:dyDescent="0.25">
      <c r="A14"/>
      <c r="E14"/>
      <c r="F14"/>
    </row>
    <row r="15" spans="1:10" x14ac:dyDescent="0.25">
      <c r="A15"/>
      <c r="E15"/>
      <c r="F15"/>
    </row>
    <row r="16" spans="1:10" x14ac:dyDescent="0.25">
      <c r="A16"/>
      <c r="E16"/>
      <c r="F16"/>
    </row>
    <row r="17" spans="1:6" x14ac:dyDescent="0.25">
      <c r="A17"/>
      <c r="E17"/>
      <c r="F17"/>
    </row>
    <row r="18" spans="1:6" x14ac:dyDescent="0.25">
      <c r="A18"/>
      <c r="E18"/>
      <c r="F18"/>
    </row>
    <row r="19" spans="1:6" x14ac:dyDescent="0.25">
      <c r="A19"/>
      <c r="F19"/>
    </row>
    <row r="20" spans="1:6" x14ac:dyDescent="0.25">
      <c r="A20"/>
      <c r="F20"/>
    </row>
    <row r="21" spans="1:6" x14ac:dyDescent="0.25">
      <c r="A21"/>
      <c r="F21"/>
    </row>
    <row r="22" spans="1:6" x14ac:dyDescent="0.25">
      <c r="A22"/>
      <c r="F22"/>
    </row>
    <row r="23" spans="1:6" x14ac:dyDescent="0.25">
      <c r="A23"/>
      <c r="F23"/>
    </row>
    <row r="24" spans="1:6" x14ac:dyDescent="0.25">
      <c r="A24"/>
      <c r="F24"/>
    </row>
    <row r="25" spans="1:6" x14ac:dyDescent="0.25">
      <c r="A25"/>
      <c r="F25"/>
    </row>
    <row r="26" spans="1:6" x14ac:dyDescent="0.25">
      <c r="A26"/>
      <c r="F26"/>
    </row>
    <row r="27" spans="1:6" x14ac:dyDescent="0.25">
      <c r="A27"/>
      <c r="F27"/>
    </row>
    <row r="28" spans="1:6" x14ac:dyDescent="0.25">
      <c r="A28"/>
      <c r="F28"/>
    </row>
    <row r="29" spans="1:6" x14ac:dyDescent="0.25">
      <c r="F29"/>
    </row>
    <row r="30" spans="1:6" x14ac:dyDescent="0.25">
      <c r="F30"/>
    </row>
    <row r="31" spans="1:6" x14ac:dyDescent="0.25">
      <c r="F31"/>
    </row>
    <row r="32" spans="1:6" x14ac:dyDescent="0.25">
      <c r="F32"/>
    </row>
    <row r="33" spans="5:6" x14ac:dyDescent="0.25">
      <c r="F33"/>
    </row>
    <row r="34" spans="5:6" x14ac:dyDescent="0.25">
      <c r="F34"/>
    </row>
    <row r="35" spans="5:6" x14ac:dyDescent="0.25">
      <c r="F35"/>
    </row>
    <row r="36" spans="5:6" x14ac:dyDescent="0.25">
      <c r="F36"/>
    </row>
    <row r="37" spans="5:6" x14ac:dyDescent="0.25">
      <c r="F37"/>
    </row>
    <row r="38" spans="5:6" x14ac:dyDescent="0.25">
      <c r="F38"/>
    </row>
    <row r="39" spans="5:6" x14ac:dyDescent="0.25">
      <c r="F39"/>
    </row>
    <row r="40" spans="5:6" x14ac:dyDescent="0.25">
      <c r="F40"/>
    </row>
    <row r="41" spans="5:6" x14ac:dyDescent="0.25">
      <c r="F41"/>
    </row>
    <row r="42" spans="5:6" x14ac:dyDescent="0.25">
      <c r="F42"/>
    </row>
    <row r="43" spans="5:6" x14ac:dyDescent="0.25">
      <c r="F43"/>
    </row>
    <row r="44" spans="5:6" x14ac:dyDescent="0.25">
      <c r="E44"/>
      <c r="F44"/>
    </row>
    <row r="52" spans="5:5" x14ac:dyDescent="0.25">
      <c r="E52"/>
    </row>
    <row r="53" spans="5:5" x14ac:dyDescent="0.25">
      <c r="E53"/>
    </row>
    <row r="69" spans="5:5" x14ac:dyDescent="0.25">
      <c r="E69"/>
    </row>
    <row r="70" spans="5:5" x14ac:dyDescent="0.25">
      <c r="E70"/>
    </row>
    <row r="71" spans="5:5" x14ac:dyDescent="0.25">
      <c r="E71"/>
    </row>
    <row r="72" spans="5:5" x14ac:dyDescent="0.25">
      <c r="E72"/>
    </row>
    <row r="73" spans="5:5" x14ac:dyDescent="0.25">
      <c r="E73"/>
    </row>
    <row r="75" spans="5:5" x14ac:dyDescent="0.25">
      <c r="E75"/>
    </row>
    <row r="76" spans="5:5" x14ac:dyDescent="0.25">
      <c r="E76"/>
    </row>
    <row r="94" spans="5:5" x14ac:dyDescent="0.25">
      <c r="E94"/>
    </row>
    <row r="95" spans="5:5" x14ac:dyDescent="0.25">
      <c r="E95"/>
    </row>
    <row r="96" spans="5:5" x14ac:dyDescent="0.25">
      <c r="E96"/>
    </row>
    <row r="115" spans="5:9" x14ac:dyDescent="0.25">
      <c r="I115" s="6"/>
    </row>
    <row r="116" spans="5:9" x14ac:dyDescent="0.25">
      <c r="I116" s="6"/>
    </row>
    <row r="117" spans="5:9" x14ac:dyDescent="0.25">
      <c r="I117" s="6"/>
    </row>
    <row r="118" spans="5:9" x14ac:dyDescent="0.25">
      <c r="I118" s="6"/>
    </row>
    <row r="119" spans="5:9" x14ac:dyDescent="0.25">
      <c r="E119"/>
      <c r="I119" s="6"/>
    </row>
    <row r="120" spans="5:9" x14ac:dyDescent="0.25">
      <c r="I120" s="6"/>
    </row>
    <row r="121" spans="5:9" x14ac:dyDescent="0.25">
      <c r="I121" s="6"/>
    </row>
    <row r="122" spans="5:9" x14ac:dyDescent="0.25">
      <c r="I122" s="6"/>
    </row>
    <row r="137" spans="9:9" x14ac:dyDescent="0.25">
      <c r="I137" s="6"/>
    </row>
    <row r="138" spans="9:9" x14ac:dyDescent="0.25">
      <c r="I138" s="6"/>
    </row>
    <row r="139" spans="9:9" x14ac:dyDescent="0.25">
      <c r="I139" s="6"/>
    </row>
  </sheetData>
  <conditionalFormatting sqref="C1:C2 C6 C11:C1048576">
    <cfRule type="colorScale" priority="10">
      <colorScale>
        <cfvo type="num" val="50"/>
        <cfvo type="num" val="100"/>
        <cfvo type="num" val="200"/>
        <color theme="5" tint="-0.249977111117893"/>
        <color theme="0"/>
        <color theme="4" tint="-0.249977111117893"/>
      </colorScale>
    </cfRule>
  </conditionalFormatting>
  <conditionalFormatting sqref="C3">
    <cfRule type="colorScale" priority="7">
      <colorScale>
        <cfvo type="num" val="50"/>
        <cfvo type="num" val="100"/>
        <cfvo type="num" val="200"/>
        <color theme="5" tint="-0.249977111117893"/>
        <color theme="0"/>
        <color theme="4" tint="-0.249977111117893"/>
      </colorScale>
    </cfRule>
  </conditionalFormatting>
  <conditionalFormatting sqref="C4:C5">
    <cfRule type="colorScale" priority="6">
      <colorScale>
        <cfvo type="num" val="50"/>
        <cfvo type="num" val="100"/>
        <cfvo type="num" val="200"/>
        <color theme="5" tint="-0.249977111117893"/>
        <color theme="0"/>
        <color theme="4" tint="-0.249977111117893"/>
      </colorScale>
    </cfRule>
  </conditionalFormatting>
  <conditionalFormatting sqref="C7:C11">
    <cfRule type="colorScale" priority="1">
      <colorScale>
        <cfvo type="num" val="50"/>
        <cfvo type="num" val="100"/>
        <cfvo type="num" val="200"/>
        <color theme="5" tint="-0.249977111117893"/>
        <color theme="0"/>
        <color theme="4" tint="-0.249977111117893"/>
      </colorScale>
    </cfRule>
  </conditionalFormatting>
  <conditionalFormatting sqref="D3:D121 H3:H121">
    <cfRule type="expression" dxfId="27" priority="2">
      <formula>FIND("Yes", D3)</formula>
    </cfRule>
    <cfRule type="expression" dxfId="26" priority="4">
      <formula>FIND("No", D3)</formula>
    </cfRule>
  </conditionalFormatting>
  <conditionalFormatting sqref="H136:H137 D136:D138">
    <cfRule type="expression" dxfId="25" priority="8">
      <formula>FIND("Yes", D136)</formula>
    </cfRule>
    <cfRule type="expression" dxfId="24" priority="9">
      <formula>FIND("No", D136)</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465E4-ECCF-4329-9FA0-6B6BE42D2602}">
  <dimension ref="A2:J139"/>
  <sheetViews>
    <sheetView zoomScale="90" zoomScaleNormal="90" workbookViewId="0">
      <selection activeCell="E4" sqref="E4"/>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ustomWidth="1"/>
    <col min="7" max="7" width="20.7109375" style="5" customWidth="1"/>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t="s">
        <v>610</v>
      </c>
      <c r="B3" s="1">
        <f>AVERAGE(64.127,65.146)</f>
        <v>64.636499999999998</v>
      </c>
      <c r="C3" s="1">
        <f>B3/G3*1000000</f>
        <v>81.974001268230808</v>
      </c>
      <c r="D3" s="1" t="str">
        <f>IF(ISERROR(FIND("/",E3)), "No", "Yes")</f>
        <v>Yes</v>
      </c>
      <c r="E3" t="s">
        <v>616</v>
      </c>
      <c r="F3" s="1" t="s">
        <v>6</v>
      </c>
      <c r="G3">
        <v>788500</v>
      </c>
      <c r="H3" s="1" t="s">
        <v>38</v>
      </c>
      <c r="I3" s="7">
        <v>45706</v>
      </c>
    </row>
    <row r="4" spans="1:10" x14ac:dyDescent="0.25">
      <c r="A4" t="s">
        <v>611</v>
      </c>
      <c r="B4" s="1">
        <f>AVERAGE(23.631,24.273)</f>
        <v>23.951999999999998</v>
      </c>
      <c r="C4" s="1">
        <f>B4/G4*1000000</f>
        <v>103.28589909443724</v>
      </c>
      <c r="D4" s="1" t="str">
        <f>IF(ISERROR(FIND("/",E4)), "No", "Yes")</f>
        <v>No</v>
      </c>
      <c r="E4" t="s">
        <v>613</v>
      </c>
      <c r="F4" s="1" t="s">
        <v>6</v>
      </c>
      <c r="G4">
        <v>231900</v>
      </c>
      <c r="H4" s="1" t="s">
        <v>38</v>
      </c>
      <c r="I4" s="7">
        <v>45706</v>
      </c>
    </row>
    <row r="5" spans="1:10" x14ac:dyDescent="0.25">
      <c r="A5" t="s">
        <v>612</v>
      </c>
      <c r="B5" s="1">
        <f>AVERAGE(23.576,23.673)</f>
        <v>23.624499999999998</v>
      </c>
      <c r="C5" s="1">
        <f>B5/G5*1000000</f>
        <v>98.230769230769226</v>
      </c>
      <c r="D5" s="1" t="str">
        <f>IF(ISERROR(FIND("/",E5)), "No", "Yes")</f>
        <v>No</v>
      </c>
      <c r="E5" t="s">
        <v>615</v>
      </c>
      <c r="F5" s="1" t="s">
        <v>96</v>
      </c>
      <c r="G5">
        <v>240500</v>
      </c>
      <c r="H5" s="1" t="s">
        <v>38</v>
      </c>
      <c r="I5" s="7">
        <v>45706</v>
      </c>
    </row>
    <row r="6" spans="1:10" x14ac:dyDescent="0.25">
      <c r="I6" s="7"/>
    </row>
    <row r="7" spans="1:10" x14ac:dyDescent="0.25">
      <c r="A7"/>
      <c r="E7"/>
      <c r="I7" s="7"/>
    </row>
    <row r="8" spans="1:10" x14ac:dyDescent="0.25">
      <c r="A8"/>
      <c r="E8"/>
      <c r="I8" s="7"/>
    </row>
    <row r="9" spans="1:10" x14ac:dyDescent="0.25">
      <c r="A9"/>
      <c r="E9"/>
      <c r="I9" s="7"/>
    </row>
    <row r="10" spans="1:10" x14ac:dyDescent="0.25">
      <c r="A10"/>
      <c r="E10"/>
      <c r="F10"/>
    </row>
    <row r="11" spans="1:10" x14ac:dyDescent="0.25">
      <c r="A11"/>
      <c r="E11"/>
      <c r="F11"/>
    </row>
    <row r="12" spans="1:10" x14ac:dyDescent="0.25">
      <c r="A12"/>
      <c r="E12"/>
      <c r="F12"/>
    </row>
    <row r="13" spans="1:10" x14ac:dyDescent="0.25">
      <c r="A13"/>
      <c r="E13"/>
      <c r="F13"/>
    </row>
    <row r="14" spans="1:10" x14ac:dyDescent="0.25">
      <c r="A14"/>
      <c r="E14"/>
      <c r="F14"/>
    </row>
    <row r="15" spans="1:10" x14ac:dyDescent="0.25">
      <c r="A15"/>
      <c r="E15"/>
      <c r="F15"/>
    </row>
    <row r="16" spans="1:10" x14ac:dyDescent="0.25">
      <c r="A16"/>
      <c r="E16"/>
      <c r="F16"/>
    </row>
    <row r="17" spans="1:6" x14ac:dyDescent="0.25">
      <c r="A17"/>
      <c r="E17"/>
      <c r="F17"/>
    </row>
    <row r="18" spans="1:6" x14ac:dyDescent="0.25">
      <c r="A18"/>
      <c r="E18"/>
      <c r="F18"/>
    </row>
    <row r="19" spans="1:6" x14ac:dyDescent="0.25">
      <c r="A19"/>
      <c r="F19"/>
    </row>
    <row r="20" spans="1:6" x14ac:dyDescent="0.25">
      <c r="A20"/>
      <c r="F20"/>
    </row>
    <row r="21" spans="1:6" x14ac:dyDescent="0.25">
      <c r="A21"/>
      <c r="F21"/>
    </row>
    <row r="22" spans="1:6" x14ac:dyDescent="0.25">
      <c r="A22"/>
      <c r="F22"/>
    </row>
    <row r="23" spans="1:6" x14ac:dyDescent="0.25">
      <c r="A23"/>
      <c r="F23"/>
    </row>
    <row r="24" spans="1:6" x14ac:dyDescent="0.25">
      <c r="A24"/>
      <c r="F24"/>
    </row>
    <row r="25" spans="1:6" x14ac:dyDescent="0.25">
      <c r="A25"/>
      <c r="F25"/>
    </row>
    <row r="26" spans="1:6" x14ac:dyDescent="0.25">
      <c r="A26"/>
      <c r="F26"/>
    </row>
    <row r="27" spans="1:6" x14ac:dyDescent="0.25">
      <c r="A27"/>
      <c r="F27"/>
    </row>
    <row r="28" spans="1:6" x14ac:dyDescent="0.25">
      <c r="A28"/>
      <c r="F28"/>
    </row>
    <row r="29" spans="1:6" x14ac:dyDescent="0.25">
      <c r="F29"/>
    </row>
    <row r="30" spans="1:6" x14ac:dyDescent="0.25">
      <c r="F30"/>
    </row>
    <row r="31" spans="1:6" x14ac:dyDescent="0.25">
      <c r="F31"/>
    </row>
    <row r="32" spans="1:6" x14ac:dyDescent="0.25">
      <c r="F32"/>
    </row>
    <row r="33" spans="5:6" x14ac:dyDescent="0.25">
      <c r="F33"/>
    </row>
    <row r="34" spans="5:6" x14ac:dyDescent="0.25">
      <c r="F34"/>
    </row>
    <row r="35" spans="5:6" x14ac:dyDescent="0.25">
      <c r="F35"/>
    </row>
    <row r="36" spans="5:6" x14ac:dyDescent="0.25">
      <c r="F36"/>
    </row>
    <row r="37" spans="5:6" x14ac:dyDescent="0.25">
      <c r="F37"/>
    </row>
    <row r="38" spans="5:6" x14ac:dyDescent="0.25">
      <c r="F38"/>
    </row>
    <row r="39" spans="5:6" x14ac:dyDescent="0.25">
      <c r="F39"/>
    </row>
    <row r="40" spans="5:6" x14ac:dyDescent="0.25">
      <c r="F40"/>
    </row>
    <row r="41" spans="5:6" x14ac:dyDescent="0.25">
      <c r="F41"/>
    </row>
    <row r="42" spans="5:6" x14ac:dyDescent="0.25">
      <c r="F42"/>
    </row>
    <row r="43" spans="5:6" x14ac:dyDescent="0.25">
      <c r="F43"/>
    </row>
    <row r="44" spans="5:6" x14ac:dyDescent="0.25">
      <c r="E44"/>
      <c r="F44"/>
    </row>
    <row r="52" spans="5:5" x14ac:dyDescent="0.25">
      <c r="E52"/>
    </row>
    <row r="53" spans="5:5" x14ac:dyDescent="0.25">
      <c r="E53"/>
    </row>
    <row r="69" spans="5:5" x14ac:dyDescent="0.25">
      <c r="E69"/>
    </row>
    <row r="70" spans="5:5" x14ac:dyDescent="0.25">
      <c r="E70"/>
    </row>
    <row r="71" spans="5:5" x14ac:dyDescent="0.25">
      <c r="E71"/>
    </row>
    <row r="72" spans="5:5" x14ac:dyDescent="0.25">
      <c r="E72"/>
    </row>
    <row r="73" spans="5:5" x14ac:dyDescent="0.25">
      <c r="E73"/>
    </row>
    <row r="75" spans="5:5" x14ac:dyDescent="0.25">
      <c r="E75"/>
    </row>
    <row r="76" spans="5:5" x14ac:dyDescent="0.25">
      <c r="E76"/>
    </row>
    <row r="94" spans="5:5" x14ac:dyDescent="0.25">
      <c r="E94"/>
    </row>
    <row r="95" spans="5:5" x14ac:dyDescent="0.25">
      <c r="E95"/>
    </row>
    <row r="96" spans="5:5" x14ac:dyDescent="0.25">
      <c r="E96"/>
    </row>
    <row r="115" spans="5:9" x14ac:dyDescent="0.25">
      <c r="I115" s="6"/>
    </row>
    <row r="116" spans="5:9" x14ac:dyDescent="0.25">
      <c r="I116" s="6"/>
    </row>
    <row r="117" spans="5:9" x14ac:dyDescent="0.25">
      <c r="I117" s="6"/>
    </row>
    <row r="118" spans="5:9" x14ac:dyDescent="0.25">
      <c r="I118" s="6"/>
    </row>
    <row r="119" spans="5:9" x14ac:dyDescent="0.25">
      <c r="E119"/>
      <c r="I119" s="6"/>
    </row>
    <row r="120" spans="5:9" x14ac:dyDescent="0.25">
      <c r="I120" s="6"/>
    </row>
    <row r="121" spans="5:9" x14ac:dyDescent="0.25">
      <c r="I121" s="6"/>
    </row>
    <row r="122" spans="5:9" x14ac:dyDescent="0.25">
      <c r="I122" s="6"/>
    </row>
    <row r="137" spans="9:9" x14ac:dyDescent="0.25">
      <c r="I137" s="6"/>
    </row>
    <row r="138" spans="9:9" x14ac:dyDescent="0.25">
      <c r="I138" s="6"/>
    </row>
    <row r="139" spans="9:9" x14ac:dyDescent="0.25">
      <c r="I139" s="6"/>
    </row>
  </sheetData>
  <conditionalFormatting sqref="C1:C2 C6 C10:C1048576">
    <cfRule type="colorScale" priority="14">
      <colorScale>
        <cfvo type="num" val="50"/>
        <cfvo type="num" val="100"/>
        <cfvo type="num" val="200"/>
        <color theme="5" tint="-0.249977111117893"/>
        <color theme="0"/>
        <color theme="4" tint="-0.249977111117893"/>
      </colorScale>
    </cfRule>
  </conditionalFormatting>
  <conditionalFormatting sqref="C3">
    <cfRule type="colorScale" priority="6">
      <colorScale>
        <cfvo type="num" val="50"/>
        <cfvo type="num" val="100"/>
        <cfvo type="num" val="200"/>
        <color theme="5" tint="-0.249977111117893"/>
        <color theme="0"/>
        <color theme="4" tint="-0.249977111117893"/>
      </colorScale>
    </cfRule>
  </conditionalFormatting>
  <conditionalFormatting sqref="C4:C5">
    <cfRule type="colorScale" priority="5">
      <colorScale>
        <cfvo type="num" val="50"/>
        <cfvo type="num" val="100"/>
        <cfvo type="num" val="200"/>
        <color theme="5" tint="-0.249977111117893"/>
        <color theme="0"/>
        <color theme="4" tint="-0.249977111117893"/>
      </colorScale>
    </cfRule>
  </conditionalFormatting>
  <conditionalFormatting sqref="C7:C9">
    <cfRule type="colorScale" priority="7">
      <colorScale>
        <cfvo type="num" val="50"/>
        <cfvo type="num" val="100"/>
        <cfvo type="num" val="200"/>
        <color theme="5" tint="-0.249977111117893"/>
        <color theme="0"/>
        <color theme="4" tint="-0.249977111117893"/>
      </colorScale>
    </cfRule>
  </conditionalFormatting>
  <conditionalFormatting sqref="D3:D121">
    <cfRule type="expression" dxfId="23" priority="3">
      <formula>FIND("Yes", D3)</formula>
    </cfRule>
    <cfRule type="expression" dxfId="22" priority="4">
      <formula>FIND("No", D3)</formula>
    </cfRule>
  </conditionalFormatting>
  <conditionalFormatting sqref="H3:H121">
    <cfRule type="expression" dxfId="21" priority="1">
      <formula>FIND("Yes", H3)</formula>
    </cfRule>
    <cfRule type="expression" dxfId="20" priority="2">
      <formula>FIND("No", H3)</formula>
    </cfRule>
  </conditionalFormatting>
  <conditionalFormatting sqref="H136:H137 D136:D138">
    <cfRule type="expression" dxfId="19" priority="12">
      <formula>FIND("Yes", D136)</formula>
    </cfRule>
    <cfRule type="expression" dxfId="18" priority="13">
      <formula>FIND("No", D136)</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FDD8F-3D8B-4911-817E-A33892B0CADA}">
  <dimension ref="A2:J139"/>
  <sheetViews>
    <sheetView zoomScale="90" zoomScaleNormal="90" workbookViewId="0">
      <selection activeCell="E4" sqref="E4"/>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ustomWidth="1"/>
    <col min="7" max="7" width="20.7109375" style="5" customWidth="1"/>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t="s">
        <v>618</v>
      </c>
      <c r="B3" s="1">
        <f>AVERAGE(65.634,65.502)</f>
        <v>65.567999999999998</v>
      </c>
      <c r="C3" s="1">
        <f>B3/G3*1000000</f>
        <v>83.932411674347151</v>
      </c>
      <c r="D3" s="1" t="str">
        <f>IF(ISERROR(FIND("/",E3)), "No", "Yes")</f>
        <v>Yes</v>
      </c>
      <c r="E3" t="s">
        <v>614</v>
      </c>
      <c r="F3" s="1" t="s">
        <v>6</v>
      </c>
      <c r="G3">
        <v>781200</v>
      </c>
      <c r="H3" s="1" t="s">
        <v>38</v>
      </c>
      <c r="I3" s="7">
        <v>45706</v>
      </c>
    </row>
    <row r="4" spans="1:10" x14ac:dyDescent="0.25">
      <c r="A4" t="s">
        <v>619</v>
      </c>
      <c r="B4" s="1">
        <f>AVERAGE(23.368,23.84)</f>
        <v>23.603999999999999</v>
      </c>
      <c r="C4" s="1">
        <f>B4/G4*1000000</f>
        <v>105.28099910793934</v>
      </c>
      <c r="D4" s="1" t="str">
        <f>IF(ISERROR(FIND("/",E4)), "No", "Yes")</f>
        <v>No</v>
      </c>
      <c r="E4" t="s">
        <v>621</v>
      </c>
      <c r="F4" s="1" t="s">
        <v>6</v>
      </c>
      <c r="G4">
        <v>224200</v>
      </c>
      <c r="H4" s="1" t="s">
        <v>38</v>
      </c>
      <c r="I4" s="7">
        <v>45706</v>
      </c>
    </row>
    <row r="5" spans="1:10" x14ac:dyDescent="0.25">
      <c r="A5" t="s">
        <v>620</v>
      </c>
      <c r="B5" s="1">
        <f>AVERAGE(25.155,25.391)</f>
        <v>25.273</v>
      </c>
      <c r="C5" s="1">
        <f>B5/G5*1000000</f>
        <v>107.36193712829225</v>
      </c>
      <c r="D5" s="1" t="str">
        <f>IF(ISERROR(FIND("/",E5)), "No", "Yes")</f>
        <v>No</v>
      </c>
      <c r="E5" t="s">
        <v>622</v>
      </c>
      <c r="F5" s="1" t="s">
        <v>96</v>
      </c>
      <c r="G5">
        <v>235400</v>
      </c>
      <c r="H5" s="1" t="s">
        <v>38</v>
      </c>
      <c r="I5" s="7">
        <v>45706</v>
      </c>
    </row>
    <row r="6" spans="1:10" x14ac:dyDescent="0.25">
      <c r="I6" s="7"/>
    </row>
    <row r="7" spans="1:10" x14ac:dyDescent="0.25">
      <c r="A7"/>
      <c r="E7"/>
      <c r="I7" s="7"/>
    </row>
    <row r="8" spans="1:10" x14ac:dyDescent="0.25">
      <c r="A8"/>
      <c r="E8"/>
      <c r="I8" s="7"/>
    </row>
    <row r="9" spans="1:10" x14ac:dyDescent="0.25">
      <c r="A9"/>
      <c r="E9"/>
      <c r="I9" s="7"/>
    </row>
    <row r="10" spans="1:10" x14ac:dyDescent="0.25">
      <c r="A10"/>
      <c r="E10"/>
      <c r="F10"/>
    </row>
    <row r="11" spans="1:10" x14ac:dyDescent="0.25">
      <c r="A11"/>
      <c r="E11"/>
      <c r="F11"/>
    </row>
    <row r="12" spans="1:10" x14ac:dyDescent="0.25">
      <c r="A12"/>
      <c r="E12"/>
      <c r="F12"/>
    </row>
    <row r="13" spans="1:10" x14ac:dyDescent="0.25">
      <c r="A13"/>
      <c r="E13"/>
      <c r="F13"/>
    </row>
    <row r="14" spans="1:10" x14ac:dyDescent="0.25">
      <c r="A14"/>
      <c r="E14"/>
      <c r="F14"/>
    </row>
    <row r="15" spans="1:10" x14ac:dyDescent="0.25">
      <c r="A15"/>
      <c r="E15"/>
      <c r="F15"/>
    </row>
    <row r="16" spans="1:10" x14ac:dyDescent="0.25">
      <c r="A16"/>
      <c r="E16"/>
      <c r="F16"/>
    </row>
    <row r="17" spans="1:6" x14ac:dyDescent="0.25">
      <c r="A17"/>
      <c r="E17"/>
      <c r="F17"/>
    </row>
    <row r="18" spans="1:6" x14ac:dyDescent="0.25">
      <c r="A18"/>
      <c r="E18"/>
      <c r="F18"/>
    </row>
    <row r="19" spans="1:6" x14ac:dyDescent="0.25">
      <c r="A19"/>
      <c r="F19"/>
    </row>
    <row r="20" spans="1:6" x14ac:dyDescent="0.25">
      <c r="A20"/>
      <c r="F20"/>
    </row>
    <row r="21" spans="1:6" x14ac:dyDescent="0.25">
      <c r="A21"/>
      <c r="F21"/>
    </row>
    <row r="22" spans="1:6" x14ac:dyDescent="0.25">
      <c r="A22"/>
      <c r="F22"/>
    </row>
    <row r="23" spans="1:6" x14ac:dyDescent="0.25">
      <c r="A23"/>
      <c r="F23"/>
    </row>
    <row r="24" spans="1:6" x14ac:dyDescent="0.25">
      <c r="A24"/>
      <c r="F24"/>
    </row>
    <row r="25" spans="1:6" x14ac:dyDescent="0.25">
      <c r="A25"/>
      <c r="F25"/>
    </row>
    <row r="26" spans="1:6" x14ac:dyDescent="0.25">
      <c r="A26"/>
      <c r="F26"/>
    </row>
    <row r="27" spans="1:6" x14ac:dyDescent="0.25">
      <c r="A27"/>
      <c r="F27"/>
    </row>
    <row r="28" spans="1:6" x14ac:dyDescent="0.25">
      <c r="A28"/>
      <c r="F28"/>
    </row>
    <row r="29" spans="1:6" x14ac:dyDescent="0.25">
      <c r="F29"/>
    </row>
    <row r="30" spans="1:6" x14ac:dyDescent="0.25">
      <c r="F30"/>
    </row>
    <row r="31" spans="1:6" x14ac:dyDescent="0.25">
      <c r="F31"/>
    </row>
    <row r="32" spans="1:6" x14ac:dyDescent="0.25">
      <c r="F32"/>
    </row>
    <row r="33" spans="5:6" x14ac:dyDescent="0.25">
      <c r="F33"/>
    </row>
    <row r="34" spans="5:6" x14ac:dyDescent="0.25">
      <c r="F34"/>
    </row>
    <row r="35" spans="5:6" x14ac:dyDescent="0.25">
      <c r="F35"/>
    </row>
    <row r="36" spans="5:6" x14ac:dyDescent="0.25">
      <c r="F36"/>
    </row>
    <row r="37" spans="5:6" x14ac:dyDescent="0.25">
      <c r="F37"/>
    </row>
    <row r="38" spans="5:6" x14ac:dyDescent="0.25">
      <c r="F38"/>
    </row>
    <row r="39" spans="5:6" x14ac:dyDescent="0.25">
      <c r="F39"/>
    </row>
    <row r="40" spans="5:6" x14ac:dyDescent="0.25">
      <c r="F40"/>
    </row>
    <row r="41" spans="5:6" x14ac:dyDescent="0.25">
      <c r="F41"/>
    </row>
    <row r="42" spans="5:6" x14ac:dyDescent="0.25">
      <c r="F42"/>
    </row>
    <row r="43" spans="5:6" x14ac:dyDescent="0.25">
      <c r="F43"/>
    </row>
    <row r="44" spans="5:6" x14ac:dyDescent="0.25">
      <c r="E44"/>
      <c r="F44"/>
    </row>
    <row r="52" spans="5:5" x14ac:dyDescent="0.25">
      <c r="E52"/>
    </row>
    <row r="53" spans="5:5" x14ac:dyDescent="0.25">
      <c r="E53"/>
    </row>
    <row r="69" spans="5:5" x14ac:dyDescent="0.25">
      <c r="E69"/>
    </row>
    <row r="70" spans="5:5" x14ac:dyDescent="0.25">
      <c r="E70"/>
    </row>
    <row r="71" spans="5:5" x14ac:dyDescent="0.25">
      <c r="E71"/>
    </row>
    <row r="72" spans="5:5" x14ac:dyDescent="0.25">
      <c r="E72"/>
    </row>
    <row r="73" spans="5:5" x14ac:dyDescent="0.25">
      <c r="E73"/>
    </row>
    <row r="75" spans="5:5" x14ac:dyDescent="0.25">
      <c r="E75"/>
    </row>
    <row r="76" spans="5:5" x14ac:dyDescent="0.25">
      <c r="E76"/>
    </row>
    <row r="94" spans="5:5" x14ac:dyDescent="0.25">
      <c r="E94"/>
    </row>
    <row r="95" spans="5:5" x14ac:dyDescent="0.25">
      <c r="E95"/>
    </row>
    <row r="96" spans="5:5" x14ac:dyDescent="0.25">
      <c r="E96"/>
    </row>
    <row r="115" spans="5:9" x14ac:dyDescent="0.25">
      <c r="I115" s="6"/>
    </row>
    <row r="116" spans="5:9" x14ac:dyDescent="0.25">
      <c r="I116" s="6"/>
    </row>
    <row r="117" spans="5:9" x14ac:dyDescent="0.25">
      <c r="I117" s="6"/>
    </row>
    <row r="118" spans="5:9" x14ac:dyDescent="0.25">
      <c r="I118" s="6"/>
    </row>
    <row r="119" spans="5:9" x14ac:dyDescent="0.25">
      <c r="E119"/>
      <c r="I119" s="6"/>
    </row>
    <row r="120" spans="5:9" x14ac:dyDescent="0.25">
      <c r="I120" s="6"/>
    </row>
    <row r="121" spans="5:9" x14ac:dyDescent="0.25">
      <c r="I121" s="6"/>
    </row>
    <row r="122" spans="5:9" x14ac:dyDescent="0.25">
      <c r="I122" s="6"/>
    </row>
    <row r="137" spans="9:9" x14ac:dyDescent="0.25">
      <c r="I137" s="6"/>
    </row>
    <row r="138" spans="9:9" x14ac:dyDescent="0.25">
      <c r="I138" s="6"/>
    </row>
    <row r="139" spans="9:9" x14ac:dyDescent="0.25">
      <c r="I139" s="6"/>
    </row>
  </sheetData>
  <conditionalFormatting sqref="C1:C2 C6 C10:C1048576">
    <cfRule type="colorScale" priority="14">
      <colorScale>
        <cfvo type="num" val="50"/>
        <cfvo type="num" val="100"/>
        <cfvo type="num" val="200"/>
        <color theme="5" tint="-0.249977111117893"/>
        <color theme="0"/>
        <color theme="4" tint="-0.249977111117893"/>
      </colorScale>
    </cfRule>
  </conditionalFormatting>
  <conditionalFormatting sqref="C3">
    <cfRule type="colorScale" priority="6">
      <colorScale>
        <cfvo type="num" val="50"/>
        <cfvo type="num" val="100"/>
        <cfvo type="num" val="200"/>
        <color theme="5" tint="-0.249977111117893"/>
        <color theme="0"/>
        <color theme="4" tint="-0.249977111117893"/>
      </colorScale>
    </cfRule>
  </conditionalFormatting>
  <conditionalFormatting sqref="C4:C5">
    <cfRule type="colorScale" priority="5">
      <colorScale>
        <cfvo type="num" val="50"/>
        <cfvo type="num" val="100"/>
        <cfvo type="num" val="200"/>
        <color theme="5" tint="-0.249977111117893"/>
        <color theme="0"/>
        <color theme="4" tint="-0.249977111117893"/>
      </colorScale>
    </cfRule>
  </conditionalFormatting>
  <conditionalFormatting sqref="C7:C9">
    <cfRule type="colorScale" priority="7">
      <colorScale>
        <cfvo type="num" val="50"/>
        <cfvo type="num" val="100"/>
        <cfvo type="num" val="200"/>
        <color theme="5" tint="-0.249977111117893"/>
        <color theme="0"/>
        <color theme="4" tint="-0.249977111117893"/>
      </colorScale>
    </cfRule>
  </conditionalFormatting>
  <conditionalFormatting sqref="D3:D121">
    <cfRule type="expression" dxfId="17" priority="3">
      <formula>FIND("Yes", D3)</formula>
    </cfRule>
    <cfRule type="expression" dxfId="16" priority="4">
      <formula>FIND("No", D3)</formula>
    </cfRule>
  </conditionalFormatting>
  <conditionalFormatting sqref="H3:H121">
    <cfRule type="expression" dxfId="15" priority="1">
      <formula>FIND("Yes", H3)</formula>
    </cfRule>
    <cfRule type="expression" dxfId="14" priority="2">
      <formula>FIND("No", H3)</formula>
    </cfRule>
  </conditionalFormatting>
  <conditionalFormatting sqref="H136:H137 D136:D138">
    <cfRule type="expression" dxfId="13" priority="12">
      <formula>FIND("Yes", D136)</formula>
    </cfRule>
    <cfRule type="expression" dxfId="12" priority="13">
      <formula>FIND("No", D136)</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D3411-A370-4FCD-93FE-6A52DF798CBA}">
  <sheetPr codeName="Sheet11">
    <pageSetUpPr autoPageBreaks="0"/>
  </sheetPr>
  <dimension ref="A2:J134"/>
  <sheetViews>
    <sheetView tabSelected="1" topLeftCell="A55" zoomScaleNormal="100" workbookViewId="0">
      <selection activeCell="A96" sqref="A96"/>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ustomWidth="1"/>
    <col min="7" max="7" width="20.7109375" style="5" customWidth="1"/>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s="1" t="s">
        <v>7</v>
      </c>
      <c r="B3" s="1">
        <v>9.6059999999999999</v>
      </c>
      <c r="C3" s="1">
        <f>B3/G3*1000000</f>
        <v>34.70375722543352</v>
      </c>
      <c r="D3" s="1" t="str">
        <f t="shared" ref="D3:D21" si="0">IF(ISERROR(FIND("/",E3)), "No", "Yes")</f>
        <v>Yes</v>
      </c>
      <c r="E3" s="1" t="s">
        <v>4</v>
      </c>
      <c r="F3" s="1" t="s">
        <v>6</v>
      </c>
      <c r="G3" s="5">
        <v>276800</v>
      </c>
      <c r="H3" s="1" t="s">
        <v>635</v>
      </c>
    </row>
    <row r="4" spans="1:10" x14ac:dyDescent="0.25">
      <c r="A4" s="1" t="s">
        <v>8</v>
      </c>
      <c r="B4" s="1">
        <v>24.416</v>
      </c>
      <c r="C4" s="1">
        <f t="shared" ref="C4:C21" si="1">B4/G4*1000000</f>
        <v>89.712923055442261</v>
      </c>
      <c r="D4" s="1" t="str">
        <f t="shared" si="0"/>
        <v>Yes</v>
      </c>
      <c r="E4" s="1" t="s">
        <v>5</v>
      </c>
      <c r="F4" s="1" t="s">
        <v>6</v>
      </c>
      <c r="G4" s="5">
        <v>272157</v>
      </c>
      <c r="H4" s="1" t="s">
        <v>38</v>
      </c>
    </row>
    <row r="5" spans="1:10" x14ac:dyDescent="0.25">
      <c r="A5" t="s">
        <v>11</v>
      </c>
      <c r="B5" s="1">
        <f>AVERAGE(34.886, 35.595)</f>
        <v>35.240499999999997</v>
      </c>
      <c r="C5" s="1">
        <f t="shared" si="1"/>
        <v>96.417236662106703</v>
      </c>
      <c r="D5" s="1" t="str">
        <f t="shared" si="0"/>
        <v>No</v>
      </c>
      <c r="E5" t="s">
        <v>22</v>
      </c>
      <c r="F5" s="1" t="s">
        <v>6</v>
      </c>
      <c r="G5" s="5">
        <v>365500</v>
      </c>
      <c r="H5" s="1" t="s">
        <v>38</v>
      </c>
    </row>
    <row r="6" spans="1:10" x14ac:dyDescent="0.25">
      <c r="A6" t="s">
        <v>62</v>
      </c>
      <c r="B6" s="1">
        <v>35.74</v>
      </c>
      <c r="C6" s="1">
        <f t="shared" si="1"/>
        <v>165.84686774941997</v>
      </c>
      <c r="D6" s="1" t="str">
        <f t="shared" si="0"/>
        <v>Yes</v>
      </c>
      <c r="E6" t="s">
        <v>39</v>
      </c>
      <c r="F6" t="s">
        <v>96</v>
      </c>
      <c r="G6" s="5">
        <v>215500</v>
      </c>
      <c r="H6" s="1" t="s">
        <v>38</v>
      </c>
    </row>
    <row r="7" spans="1:10" x14ac:dyDescent="0.25">
      <c r="A7" s="1" t="s">
        <v>65</v>
      </c>
      <c r="B7" s="1">
        <f>AVERAGE(40.245,39.81)</f>
        <v>40.027500000000003</v>
      </c>
      <c r="C7" s="1">
        <f t="shared" si="1"/>
        <v>83.494993742177741</v>
      </c>
      <c r="D7" s="1" t="str">
        <f t="shared" si="0"/>
        <v>No</v>
      </c>
      <c r="E7" s="1" t="s">
        <v>41</v>
      </c>
      <c r="F7" t="s">
        <v>6</v>
      </c>
      <c r="G7" s="5">
        <v>479400</v>
      </c>
      <c r="H7" s="1" t="s">
        <v>38</v>
      </c>
    </row>
    <row r="8" spans="1:10" x14ac:dyDescent="0.25">
      <c r="A8" s="1" t="s">
        <v>63</v>
      </c>
      <c r="B8" s="1">
        <f>AVERAGE(22.406,22.897)</f>
        <v>22.651499999999999</v>
      </c>
      <c r="C8" s="1">
        <f t="shared" si="1"/>
        <v>99.044599912549188</v>
      </c>
      <c r="D8" s="1" t="str">
        <f t="shared" si="0"/>
        <v>Yes</v>
      </c>
      <c r="E8" s="1" t="s">
        <v>43</v>
      </c>
      <c r="F8" t="s">
        <v>6</v>
      </c>
      <c r="G8" s="5">
        <v>228700</v>
      </c>
      <c r="H8" s="1" t="s">
        <v>38</v>
      </c>
    </row>
    <row r="9" spans="1:10" x14ac:dyDescent="0.25">
      <c r="A9" s="1" t="s">
        <v>64</v>
      </c>
      <c r="B9" s="1">
        <f>AVERAGE(22.674,22.651)</f>
        <v>22.662500000000001</v>
      </c>
      <c r="C9" s="1">
        <f t="shared" si="1"/>
        <v>99.941787905114296</v>
      </c>
      <c r="D9" s="1" t="str">
        <f t="shared" si="0"/>
        <v>Yes</v>
      </c>
      <c r="E9" s="1" t="s">
        <v>44</v>
      </c>
      <c r="F9" t="s">
        <v>6</v>
      </c>
      <c r="G9" s="5">
        <v>226757</v>
      </c>
      <c r="H9" s="1" t="s">
        <v>38</v>
      </c>
    </row>
    <row r="10" spans="1:10" x14ac:dyDescent="0.25">
      <c r="A10" s="1" t="s">
        <v>283</v>
      </c>
      <c r="B10" s="1">
        <f>AVERAGE(18.02,18.14, 17.79, 17.64, 18.5)</f>
        <v>18.018000000000001</v>
      </c>
      <c r="C10" s="1">
        <f t="shared" si="1"/>
        <v>95.009596928982717</v>
      </c>
      <c r="D10" s="1" t="str">
        <f t="shared" si="0"/>
        <v>Yes</v>
      </c>
      <c r="E10" t="s">
        <v>95</v>
      </c>
      <c r="F10" t="s">
        <v>6</v>
      </c>
      <c r="G10" s="5">
        <v>189644</v>
      </c>
      <c r="H10" s="1" t="s">
        <v>38</v>
      </c>
    </row>
    <row r="11" spans="1:10" x14ac:dyDescent="0.25">
      <c r="A11" s="1" t="s">
        <v>97</v>
      </c>
      <c r="B11" s="1">
        <f>AVERAGE(19.105,19.166,19.257)</f>
        <v>19.176000000000002</v>
      </c>
      <c r="C11" s="1">
        <f t="shared" si="1"/>
        <v>89.000278473962695</v>
      </c>
      <c r="D11" s="1" t="str">
        <f t="shared" si="0"/>
        <v>Yes</v>
      </c>
      <c r="E11" s="1" t="s">
        <v>99</v>
      </c>
      <c r="F11" s="1" t="s">
        <v>96</v>
      </c>
      <c r="G11" s="5">
        <v>215460</v>
      </c>
      <c r="H11" s="1" t="s">
        <v>38</v>
      </c>
    </row>
    <row r="12" spans="1:10" x14ac:dyDescent="0.25">
      <c r="A12" s="1" t="s">
        <v>98</v>
      </c>
      <c r="B12" s="1">
        <f>AVERAGE(17.927,18.338,18.196)</f>
        <v>18.153666666666666</v>
      </c>
      <c r="C12" s="1">
        <f t="shared" si="1"/>
        <v>95.724972404434979</v>
      </c>
      <c r="D12" s="1" t="str">
        <f t="shared" si="0"/>
        <v>Yes</v>
      </c>
      <c r="E12" s="1" t="s">
        <v>100</v>
      </c>
      <c r="F12" s="1" t="s">
        <v>6</v>
      </c>
      <c r="G12" s="5">
        <v>189644</v>
      </c>
      <c r="H12" s="1" t="s">
        <v>38</v>
      </c>
    </row>
    <row r="13" spans="1:10" x14ac:dyDescent="0.25">
      <c r="A13" s="1" t="s">
        <v>101</v>
      </c>
      <c r="B13" s="1">
        <f>AVERAGE(20.382,20.449)</f>
        <v>20.415500000000002</v>
      </c>
      <c r="C13" s="1">
        <f t="shared" si="1"/>
        <v>90.65497335701599</v>
      </c>
      <c r="D13" s="1" t="str">
        <f t="shared" si="0"/>
        <v>No</v>
      </c>
      <c r="E13" s="1" t="s">
        <v>102</v>
      </c>
      <c r="F13" s="1" t="s">
        <v>96</v>
      </c>
      <c r="G13" s="5">
        <v>225200</v>
      </c>
      <c r="H13" s="1" t="s">
        <v>38</v>
      </c>
    </row>
    <row r="14" spans="1:10" x14ac:dyDescent="0.25">
      <c r="A14" s="1" t="s">
        <v>108</v>
      </c>
      <c r="B14" s="1">
        <f>AVERAGE(23.161,23.561)</f>
        <v>23.361000000000001</v>
      </c>
      <c r="C14" s="1">
        <f t="shared" si="1"/>
        <v>86.650593471810083</v>
      </c>
      <c r="D14" s="1" t="str">
        <f t="shared" si="0"/>
        <v>No</v>
      </c>
      <c r="E14" s="1" t="s">
        <v>109</v>
      </c>
      <c r="F14" s="1" t="s">
        <v>96</v>
      </c>
      <c r="G14" s="5">
        <v>269600</v>
      </c>
      <c r="H14" s="1" t="s">
        <v>38</v>
      </c>
    </row>
    <row r="15" spans="1:10" x14ac:dyDescent="0.25">
      <c r="A15" s="1" t="s">
        <v>110</v>
      </c>
      <c r="B15" s="1">
        <f>AVERAGE(26.262,26.395)</f>
        <v>26.328499999999998</v>
      </c>
      <c r="C15" s="1">
        <f t="shared" si="1"/>
        <v>94.604743083003953</v>
      </c>
      <c r="D15" s="1" t="str">
        <f t="shared" si="0"/>
        <v>Yes</v>
      </c>
      <c r="E15" t="s">
        <v>113</v>
      </c>
      <c r="F15" s="1" t="s">
        <v>6</v>
      </c>
      <c r="G15" s="5">
        <v>278300</v>
      </c>
      <c r="H15" s="1" t="s">
        <v>38</v>
      </c>
    </row>
    <row r="16" spans="1:10" x14ac:dyDescent="0.25">
      <c r="A16" s="1" t="s">
        <v>111</v>
      </c>
      <c r="B16" s="1">
        <f>AVERAGE(29.472,29.806)</f>
        <v>29.639000000000003</v>
      </c>
      <c r="C16" s="1">
        <f t="shared" si="1"/>
        <v>111.33858740975036</v>
      </c>
      <c r="D16" s="1" t="str">
        <f t="shared" si="0"/>
        <v>Yes</v>
      </c>
      <c r="E16" s="1" t="s">
        <v>114</v>
      </c>
      <c r="F16" s="1" t="s">
        <v>6</v>
      </c>
      <c r="G16" s="5">
        <v>266206</v>
      </c>
      <c r="H16" s="1" t="s">
        <v>38</v>
      </c>
      <c r="I16" s="7">
        <v>45566</v>
      </c>
    </row>
    <row r="17" spans="1:9" x14ac:dyDescent="0.25">
      <c r="A17" s="1" t="s">
        <v>120</v>
      </c>
      <c r="B17" s="1">
        <f>AVERAGE(15.781, 15.92)</f>
        <v>15.8505</v>
      </c>
      <c r="C17" s="1">
        <f t="shared" si="1"/>
        <v>94.629850746268659</v>
      </c>
      <c r="D17" s="1" t="str">
        <f t="shared" si="0"/>
        <v>Yes</v>
      </c>
      <c r="E17" s="1" t="s">
        <v>119</v>
      </c>
      <c r="F17" s="1" t="s">
        <v>6</v>
      </c>
      <c r="G17" s="5">
        <v>167500</v>
      </c>
      <c r="H17" s="1" t="s">
        <v>38</v>
      </c>
    </row>
    <row r="18" spans="1:9" x14ac:dyDescent="0.25">
      <c r="A18" s="1" t="s">
        <v>121</v>
      </c>
      <c r="B18" s="1">
        <f>AVERAGE(22.018,22.115)</f>
        <v>22.066499999999998</v>
      </c>
      <c r="C18" s="1">
        <f t="shared" si="1"/>
        <v>106.16856873424297</v>
      </c>
      <c r="D18" s="1" t="str">
        <f t="shared" si="0"/>
        <v>Yes</v>
      </c>
      <c r="E18" s="1" t="s">
        <v>122</v>
      </c>
      <c r="F18" s="1" t="s">
        <v>6</v>
      </c>
      <c r="G18" s="5">
        <v>207844</v>
      </c>
      <c r="H18" s="1" t="s">
        <v>38</v>
      </c>
    </row>
    <row r="19" spans="1:9" x14ac:dyDescent="0.25">
      <c r="A19" s="1" t="s">
        <v>125</v>
      </c>
      <c r="B19" s="1">
        <f>AVERAGE(17.225,17.287)</f>
        <v>17.256</v>
      </c>
      <c r="C19" s="1">
        <f t="shared" si="1"/>
        <v>100.38394415357766</v>
      </c>
      <c r="D19" s="1" t="str">
        <f t="shared" si="0"/>
        <v>Yes</v>
      </c>
      <c r="E19" s="1" t="s">
        <v>123</v>
      </c>
      <c r="F19" s="1" t="s">
        <v>6</v>
      </c>
      <c r="G19" s="5">
        <v>171900</v>
      </c>
      <c r="H19" s="1" t="s">
        <v>38</v>
      </c>
    </row>
    <row r="20" spans="1:9" x14ac:dyDescent="0.25">
      <c r="A20" s="1" t="s">
        <v>126</v>
      </c>
      <c r="B20" s="1">
        <f>AVERAGE(24.197,24.6)</f>
        <v>24.398499999999999</v>
      </c>
      <c r="C20" s="1">
        <f t="shared" si="1"/>
        <v>99.097909880344105</v>
      </c>
      <c r="D20" s="1" t="str">
        <f t="shared" si="0"/>
        <v>Yes</v>
      </c>
      <c r="E20" s="1" t="s">
        <v>124</v>
      </c>
      <c r="F20" s="1" t="s">
        <v>6</v>
      </c>
      <c r="G20" s="5">
        <v>246206</v>
      </c>
      <c r="H20" s="1" t="s">
        <v>38</v>
      </c>
    </row>
    <row r="21" spans="1:9" x14ac:dyDescent="0.25">
      <c r="A21" s="1" t="s">
        <v>250</v>
      </c>
      <c r="B21" s="1">
        <f>AVERAGE(22.919,22.965)</f>
        <v>22.942</v>
      </c>
      <c r="C21" s="1">
        <f t="shared" si="1"/>
        <v>86.181378331066924</v>
      </c>
      <c r="D21" s="1" t="str">
        <f t="shared" si="0"/>
        <v>Yes</v>
      </c>
      <c r="E21" s="1" t="s">
        <v>114</v>
      </c>
      <c r="F21" s="1" t="s">
        <v>6</v>
      </c>
      <c r="G21" s="5">
        <v>266206</v>
      </c>
      <c r="H21" s="1" t="s">
        <v>38</v>
      </c>
      <c r="I21" s="7">
        <v>45192</v>
      </c>
    </row>
    <row r="22" spans="1:9" x14ac:dyDescent="0.25">
      <c r="A22" t="s">
        <v>306</v>
      </c>
      <c r="B22" s="1">
        <f>AVERAGE(56.342,56.687)</f>
        <v>56.514499999999998</v>
      </c>
      <c r="C22" s="1">
        <f>B22/G22*1000000</f>
        <v>103.31718464351005</v>
      </c>
      <c r="D22" s="1" t="str">
        <f>IF(ISERROR(FIND("/",E22)), "No", "Yes")</f>
        <v>No</v>
      </c>
      <c r="E22" s="1" t="s">
        <v>312</v>
      </c>
      <c r="F22" t="s">
        <v>6</v>
      </c>
      <c r="G22" s="5">
        <v>547000</v>
      </c>
      <c r="H22" s="1" t="s">
        <v>38</v>
      </c>
      <c r="I22" s="7">
        <v>45366</v>
      </c>
    </row>
    <row r="23" spans="1:9" x14ac:dyDescent="0.25">
      <c r="A23" t="s">
        <v>307</v>
      </c>
      <c r="B23" s="1">
        <f>AVERAGE(57.399,56.588)</f>
        <v>56.993499999999997</v>
      </c>
      <c r="C23" s="1">
        <f>B23/G23*1000000</f>
        <v>93.508613617719433</v>
      </c>
      <c r="D23" s="1" t="str">
        <f>IF(ISERROR(FIND("/",E23)), "No", "Yes")</f>
        <v>No</v>
      </c>
      <c r="E23" s="1" t="s">
        <v>313</v>
      </c>
      <c r="F23" t="s">
        <v>6</v>
      </c>
      <c r="G23" s="5">
        <v>609500</v>
      </c>
      <c r="H23" s="1" t="s">
        <v>38</v>
      </c>
      <c r="I23" s="7">
        <v>45367</v>
      </c>
    </row>
    <row r="24" spans="1:9" x14ac:dyDescent="0.25">
      <c r="A24" t="s">
        <v>308</v>
      </c>
      <c r="B24" s="1">
        <f>AVERAGE(56.644,56.196)</f>
        <v>56.42</v>
      </c>
      <c r="C24" s="1">
        <f>B24/G24*1000000</f>
        <v>93.240786646835232</v>
      </c>
      <c r="D24" s="1" t="str">
        <f>IF(ISERROR(FIND("/",E24)), "No", "Yes")</f>
        <v>No</v>
      </c>
      <c r="E24" s="1" t="s">
        <v>314</v>
      </c>
      <c r="F24" t="s">
        <v>6</v>
      </c>
      <c r="G24" s="5">
        <v>605100</v>
      </c>
      <c r="H24" s="1" t="s">
        <v>38</v>
      </c>
      <c r="I24" s="7">
        <v>45368</v>
      </c>
    </row>
    <row r="25" spans="1:9" x14ac:dyDescent="0.25">
      <c r="A25" t="s">
        <v>309</v>
      </c>
      <c r="B25" s="1">
        <f>AVERAGE(23.106,23.258)</f>
        <v>23.182000000000002</v>
      </c>
      <c r="C25" s="1">
        <f>B25/G25*1000000</f>
        <v>95.556471558120364</v>
      </c>
      <c r="D25" s="1" t="str">
        <f>IF(ISERROR(FIND("/",E25)), "No", "Yes")</f>
        <v>No</v>
      </c>
      <c r="E25" s="1" t="s">
        <v>315</v>
      </c>
      <c r="F25" t="s">
        <v>96</v>
      </c>
      <c r="G25" s="5">
        <v>242600</v>
      </c>
      <c r="H25" s="1" t="s">
        <v>38</v>
      </c>
      <c r="I25" s="7">
        <v>45369</v>
      </c>
    </row>
    <row r="26" spans="1:9" x14ac:dyDescent="0.25">
      <c r="A26" s="1" t="s">
        <v>375</v>
      </c>
      <c r="B26" s="1">
        <f>AVERAGE(47.6,47.79)</f>
        <v>47.695</v>
      </c>
      <c r="C26" s="1">
        <f>B26/G26*1000000</f>
        <v>91.72115384615384</v>
      </c>
      <c r="D26" s="1" t="str">
        <f>IF(ISERROR(FIND("/",E26)), "No", "Yes")</f>
        <v>No</v>
      </c>
      <c r="E26" s="1" t="s">
        <v>379</v>
      </c>
      <c r="F26" s="1" t="s">
        <v>6</v>
      </c>
      <c r="G26" s="5">
        <v>520000</v>
      </c>
      <c r="H26" s="1" t="s">
        <v>38</v>
      </c>
      <c r="I26" s="7"/>
    </row>
    <row r="27" spans="1:9" x14ac:dyDescent="0.25">
      <c r="A27" s="1" t="s">
        <v>389</v>
      </c>
      <c r="B27" s="1">
        <f>AVERAGE(24.712,24.77)</f>
        <v>24.741</v>
      </c>
      <c r="C27" s="1">
        <f t="shared" ref="C27:C90" si="2">B27/G27*1000000</f>
        <v>90.890722467542957</v>
      </c>
      <c r="D27" s="1" t="str">
        <f t="shared" ref="D27:D58" si="3">IF(ISERROR(FIND("/",E27)), "No", "Yes")</f>
        <v>Yes</v>
      </c>
      <c r="E27" s="1" t="s">
        <v>385</v>
      </c>
      <c r="F27" s="1" t="s">
        <v>6</v>
      </c>
      <c r="G27" s="5">
        <v>272206</v>
      </c>
      <c r="H27" s="1" t="s">
        <v>38</v>
      </c>
      <c r="I27" s="7">
        <v>45399</v>
      </c>
    </row>
    <row r="28" spans="1:9" x14ac:dyDescent="0.25">
      <c r="A28" s="1" t="s">
        <v>390</v>
      </c>
      <c r="B28" s="1">
        <f>AVERAGE(27.722,27.509)</f>
        <v>27.615500000000001</v>
      </c>
      <c r="C28" s="1">
        <f t="shared" si="2"/>
        <v>94.508898015058179</v>
      </c>
      <c r="D28" s="1" t="str">
        <f t="shared" si="3"/>
        <v>Yes</v>
      </c>
      <c r="E28" s="1" t="s">
        <v>386</v>
      </c>
      <c r="F28" s="1" t="s">
        <v>6</v>
      </c>
      <c r="G28" s="5">
        <v>292200</v>
      </c>
      <c r="H28" s="1" t="s">
        <v>38</v>
      </c>
      <c r="I28" s="7">
        <v>45399</v>
      </c>
    </row>
    <row r="29" spans="1:9" x14ac:dyDescent="0.25">
      <c r="A29" s="1" t="s">
        <v>391</v>
      </c>
      <c r="B29" s="1">
        <f>AVERAGE(31.019)</f>
        <v>31.018999999999998</v>
      </c>
      <c r="C29" s="1">
        <f t="shared" si="2"/>
        <v>106.48472365259182</v>
      </c>
      <c r="D29" s="1" t="str">
        <f t="shared" si="3"/>
        <v>No</v>
      </c>
      <c r="E29" s="1" t="s">
        <v>287</v>
      </c>
      <c r="F29" s="1" t="s">
        <v>96</v>
      </c>
      <c r="G29" s="5">
        <v>291300</v>
      </c>
      <c r="H29" s="1" t="s">
        <v>38</v>
      </c>
      <c r="I29" s="7">
        <v>45399</v>
      </c>
    </row>
    <row r="30" spans="1:9" x14ac:dyDescent="0.25">
      <c r="A30" s="1" t="s">
        <v>392</v>
      </c>
      <c r="B30" s="1">
        <f>AVERAGE(57.681,56.611)</f>
        <v>57.146000000000001</v>
      </c>
      <c r="C30" s="1">
        <f t="shared" si="2"/>
        <v>88.694707434424956</v>
      </c>
      <c r="D30" s="1" t="str">
        <f t="shared" si="3"/>
        <v>No</v>
      </c>
      <c r="E30" s="1" t="s">
        <v>387</v>
      </c>
      <c r="F30" s="1" t="s">
        <v>6</v>
      </c>
      <c r="G30" s="5">
        <v>644300</v>
      </c>
      <c r="H30" s="1" t="s">
        <v>38</v>
      </c>
      <c r="I30" s="7">
        <v>45399</v>
      </c>
    </row>
    <row r="31" spans="1:9" x14ac:dyDescent="0.25">
      <c r="A31" s="1" t="s">
        <v>393</v>
      </c>
      <c r="B31" s="1">
        <f>AVERAGE(58.351,59.82)</f>
        <v>59.085499999999996</v>
      </c>
      <c r="C31" s="1">
        <f t="shared" si="2"/>
        <v>90.594142900950629</v>
      </c>
      <c r="D31" s="1" t="str">
        <f t="shared" si="3"/>
        <v>No</v>
      </c>
      <c r="E31" s="1" t="s">
        <v>388</v>
      </c>
      <c r="F31" s="1" t="s">
        <v>6</v>
      </c>
      <c r="G31" s="5">
        <v>652200</v>
      </c>
      <c r="H31" s="1" t="s">
        <v>38</v>
      </c>
      <c r="I31" s="7">
        <v>45399</v>
      </c>
    </row>
    <row r="32" spans="1:9" x14ac:dyDescent="0.25">
      <c r="A32" t="s">
        <v>380</v>
      </c>
      <c r="B32" s="1">
        <f>AVERAGE(23.704,23.692)</f>
        <v>23.698</v>
      </c>
      <c r="C32" s="1">
        <f t="shared" si="2"/>
        <v>85.798280993171758</v>
      </c>
      <c r="D32" s="1" t="str">
        <f t="shared" si="3"/>
        <v>Yes</v>
      </c>
      <c r="E32" s="1" t="s">
        <v>394</v>
      </c>
      <c r="F32" s="1" t="s">
        <v>6</v>
      </c>
      <c r="G32" s="5">
        <v>276206</v>
      </c>
      <c r="H32" s="1" t="s">
        <v>38</v>
      </c>
      <c r="I32" s="7">
        <v>45399</v>
      </c>
    </row>
    <row r="33" spans="1:9" x14ac:dyDescent="0.25">
      <c r="A33" t="s">
        <v>381</v>
      </c>
      <c r="B33" s="1">
        <f>AVERAGE(27.998,27.697)</f>
        <v>27.8475</v>
      </c>
      <c r="C33" s="1">
        <f t="shared" si="2"/>
        <v>95.860585197934597</v>
      </c>
      <c r="D33" s="1" t="str">
        <f t="shared" si="3"/>
        <v>Yes</v>
      </c>
      <c r="E33" s="1" t="s">
        <v>395</v>
      </c>
      <c r="F33" s="1" t="s">
        <v>6</v>
      </c>
      <c r="G33" s="5">
        <v>290500</v>
      </c>
      <c r="H33" s="1" t="s">
        <v>38</v>
      </c>
      <c r="I33" s="7">
        <v>45399</v>
      </c>
    </row>
    <row r="34" spans="1:9" x14ac:dyDescent="0.25">
      <c r="A34" t="s">
        <v>382</v>
      </c>
      <c r="B34" s="1">
        <f>AVERAGE(28.552,27.506)</f>
        <v>28.029</v>
      </c>
      <c r="C34" s="1">
        <f t="shared" si="2"/>
        <v>94.949186991869922</v>
      </c>
      <c r="D34" s="1" t="str">
        <f t="shared" si="3"/>
        <v>No</v>
      </c>
      <c r="E34" s="1" t="s">
        <v>396</v>
      </c>
      <c r="F34" s="1" t="s">
        <v>96</v>
      </c>
      <c r="G34" s="5">
        <v>295200</v>
      </c>
      <c r="H34" s="1" t="s">
        <v>38</v>
      </c>
      <c r="I34" s="7">
        <v>45399</v>
      </c>
    </row>
    <row r="35" spans="1:9" x14ac:dyDescent="0.25">
      <c r="A35" s="1" t="s">
        <v>383</v>
      </c>
      <c r="B35" s="1">
        <f>AVERAGE(55.303,56.415)</f>
        <v>55.858999999999995</v>
      </c>
      <c r="C35" s="1">
        <f t="shared" si="2"/>
        <v>86.175563097809317</v>
      </c>
      <c r="D35" s="1" t="str">
        <f t="shared" si="3"/>
        <v>No</v>
      </c>
      <c r="E35" s="1" t="s">
        <v>397</v>
      </c>
      <c r="F35" s="1" t="s">
        <v>6</v>
      </c>
      <c r="G35" s="5">
        <v>648200</v>
      </c>
      <c r="H35" s="1" t="s">
        <v>38</v>
      </c>
      <c r="I35" s="7">
        <v>45399</v>
      </c>
    </row>
    <row r="36" spans="1:9" x14ac:dyDescent="0.25">
      <c r="A36" s="1" t="s">
        <v>384</v>
      </c>
      <c r="B36" s="1">
        <f>AVERAGE(57.193,60.979,61.145)</f>
        <v>59.772333333333336</v>
      </c>
      <c r="C36" s="1">
        <f t="shared" si="2"/>
        <v>91.886753779144257</v>
      </c>
      <c r="D36" s="1" t="str">
        <f t="shared" si="3"/>
        <v>No</v>
      </c>
      <c r="E36" s="1" t="s">
        <v>398</v>
      </c>
      <c r="F36" s="1" t="s">
        <v>6</v>
      </c>
      <c r="G36" s="5">
        <v>650500</v>
      </c>
      <c r="H36" s="1" t="s">
        <v>38</v>
      </c>
      <c r="I36" s="7">
        <v>45399</v>
      </c>
    </row>
    <row r="37" spans="1:9" x14ac:dyDescent="0.25">
      <c r="A37" s="1" t="s">
        <v>399</v>
      </c>
      <c r="C37" s="1">
        <f t="shared" si="2"/>
        <v>0</v>
      </c>
      <c r="D37" s="1" t="str">
        <f t="shared" si="3"/>
        <v>No</v>
      </c>
      <c r="E37" s="1" t="s">
        <v>401</v>
      </c>
      <c r="F37" s="1" t="s">
        <v>96</v>
      </c>
      <c r="G37" s="5">
        <v>273400</v>
      </c>
      <c r="H37" s="1" t="s">
        <v>38</v>
      </c>
      <c r="I37" s="7">
        <v>45399</v>
      </c>
    </row>
    <row r="38" spans="1:9" x14ac:dyDescent="0.25">
      <c r="A38" s="1" t="s">
        <v>400</v>
      </c>
      <c r="C38" s="1">
        <f t="shared" si="2"/>
        <v>0</v>
      </c>
      <c r="D38" s="1" t="str">
        <f t="shared" si="3"/>
        <v>No</v>
      </c>
      <c r="E38" s="1" t="s">
        <v>402</v>
      </c>
      <c r="F38" s="1" t="s">
        <v>96</v>
      </c>
      <c r="G38" s="5">
        <v>300800</v>
      </c>
      <c r="H38" s="1" t="s">
        <v>38</v>
      </c>
      <c r="I38" s="7">
        <v>45399</v>
      </c>
    </row>
    <row r="39" spans="1:9" x14ac:dyDescent="0.25">
      <c r="A39" s="1" t="s">
        <v>404</v>
      </c>
      <c r="B39" s="1">
        <f>AVERAGE(69.945,72.552,70.286)</f>
        <v>70.927666666666667</v>
      </c>
      <c r="C39" s="1">
        <f t="shared" si="2"/>
        <v>92.76440840526638</v>
      </c>
      <c r="D39" s="1" t="str">
        <f t="shared" si="3"/>
        <v>No</v>
      </c>
      <c r="E39" s="1" t="s">
        <v>408</v>
      </c>
      <c r="F39" t="s">
        <v>412</v>
      </c>
      <c r="G39" s="5">
        <v>764600</v>
      </c>
      <c r="H39" s="1" t="s">
        <v>38</v>
      </c>
      <c r="I39" s="7">
        <v>45408</v>
      </c>
    </row>
    <row r="40" spans="1:9" x14ac:dyDescent="0.25">
      <c r="A40" s="1" t="s">
        <v>405</v>
      </c>
      <c r="B40" s="1">
        <f>AVERAGE(72.941,73.948)</f>
        <v>73.444500000000005</v>
      </c>
      <c r="C40" s="1">
        <f t="shared" si="2"/>
        <v>93.239177351783681</v>
      </c>
      <c r="D40" s="1" t="str">
        <f t="shared" si="3"/>
        <v>No</v>
      </c>
      <c r="E40" s="1" t="s">
        <v>409</v>
      </c>
      <c r="F40" t="s">
        <v>412</v>
      </c>
      <c r="G40" s="5">
        <v>787700</v>
      </c>
      <c r="H40" s="1" t="s">
        <v>38</v>
      </c>
      <c r="I40" s="7">
        <v>45408</v>
      </c>
    </row>
    <row r="41" spans="1:9" x14ac:dyDescent="0.25">
      <c r="A41" s="1" t="s">
        <v>406</v>
      </c>
      <c r="B41" s="1">
        <f>AVERAGE(76.51,77.878)</f>
        <v>77.194000000000003</v>
      </c>
      <c r="C41" s="1">
        <f t="shared" si="2"/>
        <v>96.108067729083658</v>
      </c>
      <c r="D41" s="1" t="str">
        <f t="shared" si="3"/>
        <v>No</v>
      </c>
      <c r="E41" s="1" t="s">
        <v>410</v>
      </c>
      <c r="F41" t="s">
        <v>412</v>
      </c>
      <c r="G41" s="5">
        <v>803200</v>
      </c>
      <c r="H41" s="1" t="s">
        <v>38</v>
      </c>
      <c r="I41" s="7">
        <v>45408</v>
      </c>
    </row>
    <row r="42" spans="1:9" x14ac:dyDescent="0.25">
      <c r="A42" s="1" t="s">
        <v>407</v>
      </c>
      <c r="B42" s="1">
        <f>AVERAGE(77.826,77.704)</f>
        <v>77.764999999999986</v>
      </c>
      <c r="C42" s="1">
        <f t="shared" si="2"/>
        <v>93.19870565675933</v>
      </c>
      <c r="D42" s="1" t="str">
        <f t="shared" si="3"/>
        <v>No</v>
      </c>
      <c r="E42" s="1" t="s">
        <v>411</v>
      </c>
      <c r="F42" t="s">
        <v>412</v>
      </c>
      <c r="G42" s="5">
        <v>834400</v>
      </c>
      <c r="H42" s="1" t="s">
        <v>38</v>
      </c>
      <c r="I42" s="7">
        <v>45408</v>
      </c>
    </row>
    <row r="43" spans="1:9" x14ac:dyDescent="0.25">
      <c r="A43" s="1" t="s">
        <v>446</v>
      </c>
      <c r="B43" s="1">
        <f>AVERAGE(11.7,11.7,11.4)</f>
        <v>11.6</v>
      </c>
      <c r="C43" s="1">
        <f t="shared" si="2"/>
        <v>12.092150526425517</v>
      </c>
      <c r="D43" s="1" t="str">
        <f t="shared" si="3"/>
        <v>No</v>
      </c>
      <c r="E43" t="s">
        <v>448</v>
      </c>
      <c r="F43" t="s">
        <v>36</v>
      </c>
      <c r="G43" s="5">
        <v>959300</v>
      </c>
      <c r="H43" s="1" t="s">
        <v>38</v>
      </c>
      <c r="I43" s="7">
        <v>45419</v>
      </c>
    </row>
    <row r="44" spans="1:9" x14ac:dyDescent="0.25">
      <c r="A44" s="1" t="s">
        <v>447</v>
      </c>
      <c r="B44" s="1">
        <f>AVERAGE(54.1,53.2)</f>
        <v>53.650000000000006</v>
      </c>
      <c r="C44" s="1">
        <f t="shared" si="2"/>
        <v>54.70582237177527</v>
      </c>
      <c r="D44" s="1" t="str">
        <f t="shared" si="3"/>
        <v>No</v>
      </c>
      <c r="E44" t="s">
        <v>449</v>
      </c>
      <c r="F44" t="s">
        <v>36</v>
      </c>
      <c r="G44" s="5">
        <v>980700</v>
      </c>
      <c r="H44" s="1" t="s">
        <v>38</v>
      </c>
      <c r="I44" s="7">
        <v>45419</v>
      </c>
    </row>
    <row r="45" spans="1:9" x14ac:dyDescent="0.25">
      <c r="A45" s="1" t="s">
        <v>450</v>
      </c>
      <c r="B45" s="1">
        <f>AVERAGE(59.357,60.085)</f>
        <v>59.721000000000004</v>
      </c>
      <c r="C45" s="1">
        <f t="shared" si="2"/>
        <v>97.328878748370286</v>
      </c>
      <c r="D45" s="1" t="str">
        <f t="shared" si="3"/>
        <v>No</v>
      </c>
      <c r="E45" t="s">
        <v>455</v>
      </c>
      <c r="F45" t="s">
        <v>412</v>
      </c>
      <c r="G45" s="5">
        <v>613600</v>
      </c>
      <c r="H45" s="1" t="s">
        <v>38</v>
      </c>
      <c r="I45" s="7">
        <v>45423</v>
      </c>
    </row>
    <row r="46" spans="1:9" x14ac:dyDescent="0.25">
      <c r="A46" s="1" t="s">
        <v>451</v>
      </c>
      <c r="B46" s="1">
        <f>AVERAGE(66.549,66.676)</f>
        <v>66.612500000000011</v>
      </c>
      <c r="C46" s="1">
        <f t="shared" si="2"/>
        <v>108.36586952985198</v>
      </c>
      <c r="D46" s="1" t="str">
        <f t="shared" si="3"/>
        <v>No</v>
      </c>
      <c r="E46" t="s">
        <v>456</v>
      </c>
      <c r="F46" t="s">
        <v>412</v>
      </c>
      <c r="G46" s="5">
        <v>614700</v>
      </c>
      <c r="H46" s="1" t="s">
        <v>38</v>
      </c>
      <c r="I46" s="7">
        <v>45423</v>
      </c>
    </row>
    <row r="47" spans="1:9" x14ac:dyDescent="0.25">
      <c r="A47" s="1" t="s">
        <v>452</v>
      </c>
      <c r="B47" s="1">
        <f>AVERAGE(24.321,24.175)</f>
        <v>24.248000000000001</v>
      </c>
      <c r="C47" s="1">
        <f t="shared" si="2"/>
        <v>100.36174598312957</v>
      </c>
      <c r="D47" s="1" t="str">
        <f t="shared" si="3"/>
        <v>Yes</v>
      </c>
      <c r="E47" t="s">
        <v>457</v>
      </c>
      <c r="F47" t="s">
        <v>412</v>
      </c>
      <c r="G47" s="5">
        <v>241606</v>
      </c>
      <c r="H47" s="1" t="s">
        <v>38</v>
      </c>
      <c r="I47" s="7">
        <v>45423</v>
      </c>
    </row>
    <row r="48" spans="1:9" x14ac:dyDescent="0.25">
      <c r="A48" s="1" t="s">
        <v>453</v>
      </c>
      <c r="B48" s="1">
        <f>AVERAGE(19.657,19.521)</f>
        <v>19.588999999999999</v>
      </c>
      <c r="C48" s="1">
        <f t="shared" si="2"/>
        <v>76.910090302316434</v>
      </c>
      <c r="D48" s="1" t="str">
        <f t="shared" si="3"/>
        <v>Yes</v>
      </c>
      <c r="E48" t="s">
        <v>458</v>
      </c>
      <c r="F48" t="s">
        <v>412</v>
      </c>
      <c r="G48" s="5">
        <v>254700</v>
      </c>
      <c r="H48" s="1" t="s">
        <v>38</v>
      </c>
      <c r="I48" s="7">
        <v>45423</v>
      </c>
    </row>
    <row r="49" spans="1:9" x14ac:dyDescent="0.25">
      <c r="A49" s="1" t="s">
        <v>454</v>
      </c>
      <c r="B49" s="1">
        <f>AVERAGE(26.071,26.036)</f>
        <v>26.0535</v>
      </c>
      <c r="C49" s="1">
        <f t="shared" si="2"/>
        <v>99.975057559478131</v>
      </c>
      <c r="D49" s="1" t="str">
        <f t="shared" si="3"/>
        <v>No</v>
      </c>
      <c r="E49" t="s">
        <v>459</v>
      </c>
      <c r="F49" s="1" t="s">
        <v>96</v>
      </c>
      <c r="G49" s="5">
        <v>260600</v>
      </c>
      <c r="H49" s="1" t="s">
        <v>38</v>
      </c>
      <c r="I49" s="7">
        <v>45423</v>
      </c>
    </row>
    <row r="50" spans="1:9" x14ac:dyDescent="0.25">
      <c r="A50" s="1" t="s">
        <v>460</v>
      </c>
      <c r="B50" s="1">
        <f>AVERAGE(63.229,62.637)</f>
        <v>62.933</v>
      </c>
      <c r="C50" s="1">
        <f t="shared" si="2"/>
        <v>99.820765790058047</v>
      </c>
      <c r="D50" s="1" t="str">
        <f t="shared" si="3"/>
        <v>Yes</v>
      </c>
      <c r="E50" s="1" t="s">
        <v>462</v>
      </c>
      <c r="F50" t="s">
        <v>412</v>
      </c>
      <c r="G50" s="5">
        <v>630460</v>
      </c>
      <c r="H50" s="1" t="s">
        <v>38</v>
      </c>
      <c r="I50" s="7">
        <v>45423</v>
      </c>
    </row>
    <row r="51" spans="1:9" x14ac:dyDescent="0.25">
      <c r="A51" s="1" t="s">
        <v>461</v>
      </c>
      <c r="B51" s="1">
        <f>AVERAGE(60.172,60.569)</f>
        <v>60.3705</v>
      </c>
      <c r="C51" s="1">
        <f t="shared" si="2"/>
        <v>95.287739124944764</v>
      </c>
      <c r="D51" s="1" t="str">
        <f t="shared" si="3"/>
        <v>Yes</v>
      </c>
      <c r="E51" s="1" t="s">
        <v>463</v>
      </c>
      <c r="F51" t="s">
        <v>412</v>
      </c>
      <c r="G51" s="5">
        <v>633560</v>
      </c>
      <c r="H51" s="1" t="s">
        <v>38</v>
      </c>
      <c r="I51" s="7">
        <v>45423</v>
      </c>
    </row>
    <row r="52" spans="1:9" x14ac:dyDescent="0.25">
      <c r="A52" s="1" t="s">
        <v>464</v>
      </c>
      <c r="B52" s="1">
        <f>AVERAGE(77.4,75.673)</f>
        <v>76.536500000000004</v>
      </c>
      <c r="C52" s="1">
        <f t="shared" si="2"/>
        <v>79.783696445324708</v>
      </c>
      <c r="D52" s="1" t="str">
        <f t="shared" si="3"/>
        <v>Yes</v>
      </c>
      <c r="E52" s="1" t="s">
        <v>468</v>
      </c>
      <c r="F52" s="1" t="s">
        <v>36</v>
      </c>
      <c r="G52" s="5">
        <v>959300</v>
      </c>
      <c r="H52" s="1" t="s">
        <v>38</v>
      </c>
      <c r="I52" s="7">
        <v>45446</v>
      </c>
    </row>
    <row r="53" spans="1:9" x14ac:dyDescent="0.25">
      <c r="A53" s="1" t="s">
        <v>465</v>
      </c>
      <c r="B53" s="1">
        <f>AVERAGE(63.907,63.955)</f>
        <v>63.930999999999997</v>
      </c>
      <c r="C53" s="1">
        <f t="shared" si="2"/>
        <v>65.189150606709489</v>
      </c>
      <c r="D53" s="1" t="str">
        <f t="shared" si="3"/>
        <v>Yes</v>
      </c>
      <c r="E53" t="s">
        <v>469</v>
      </c>
      <c r="F53" s="1" t="s">
        <v>36</v>
      </c>
      <c r="G53" s="5">
        <v>980700</v>
      </c>
      <c r="H53" s="1" t="s">
        <v>38</v>
      </c>
      <c r="I53" s="7">
        <v>45446</v>
      </c>
    </row>
    <row r="54" spans="1:9" x14ac:dyDescent="0.25">
      <c r="A54" s="1" t="s">
        <v>466</v>
      </c>
      <c r="B54" s="1">
        <f>AVERAGE(59.032,59.308,59.737)</f>
        <v>59.359000000000002</v>
      </c>
      <c r="C54" s="1">
        <f t="shared" si="2"/>
        <v>84.030294450736122</v>
      </c>
      <c r="D54" s="1" t="str">
        <f t="shared" si="3"/>
        <v>Yes</v>
      </c>
      <c r="E54" t="s">
        <v>470</v>
      </c>
      <c r="F54" s="1" t="s">
        <v>6</v>
      </c>
      <c r="G54" s="5">
        <v>706400</v>
      </c>
      <c r="H54" s="1" t="s">
        <v>38</v>
      </c>
      <c r="I54" s="7">
        <v>45446</v>
      </c>
    </row>
    <row r="55" spans="1:9" x14ac:dyDescent="0.25">
      <c r="A55" s="1" t="s">
        <v>467</v>
      </c>
      <c r="B55" s="1">
        <f>AVERAGE(63.657,64.188)</f>
        <v>63.922499999999999</v>
      </c>
      <c r="C55" s="1">
        <f t="shared" si="2"/>
        <v>85.161870503597129</v>
      </c>
      <c r="D55" s="1" t="str">
        <f t="shared" si="3"/>
        <v>Yes</v>
      </c>
      <c r="E55" s="1" t="s">
        <v>471</v>
      </c>
      <c r="F55" s="1" t="s">
        <v>6</v>
      </c>
      <c r="G55" s="5">
        <v>750600</v>
      </c>
      <c r="H55" s="1" t="s">
        <v>38</v>
      </c>
      <c r="I55" s="7">
        <v>45446</v>
      </c>
    </row>
    <row r="56" spans="1:9" x14ac:dyDescent="0.25">
      <c r="A56" s="1" t="s">
        <v>472</v>
      </c>
      <c r="B56" s="1">
        <f>AVERAGE(75.801,75.212)</f>
        <v>75.506500000000003</v>
      </c>
      <c r="C56" s="1">
        <f t="shared" si="2"/>
        <v>87.432260305697085</v>
      </c>
      <c r="D56" s="1" t="str">
        <f t="shared" si="3"/>
        <v>No</v>
      </c>
      <c r="E56" s="1" t="s">
        <v>474</v>
      </c>
      <c r="F56" s="1" t="s">
        <v>36</v>
      </c>
      <c r="G56" s="5">
        <v>863600</v>
      </c>
      <c r="H56" s="1" t="s">
        <v>38</v>
      </c>
      <c r="I56" s="7">
        <v>45446</v>
      </c>
    </row>
    <row r="57" spans="1:9" x14ac:dyDescent="0.25">
      <c r="A57" s="1" t="s">
        <v>473</v>
      </c>
      <c r="B57" s="1">
        <f>AVERAGE(76.795,76.282)</f>
        <v>76.538499999999999</v>
      </c>
      <c r="C57" s="1">
        <f t="shared" si="2"/>
        <v>86.396320126425096</v>
      </c>
      <c r="D57" s="1" t="str">
        <f t="shared" si="3"/>
        <v>Yes</v>
      </c>
      <c r="E57" s="1" t="s">
        <v>475</v>
      </c>
      <c r="F57" s="1" t="s">
        <v>36</v>
      </c>
      <c r="G57" s="5">
        <v>885900</v>
      </c>
      <c r="H57" s="1" t="s">
        <v>38</v>
      </c>
      <c r="I57" s="7">
        <v>45446</v>
      </c>
    </row>
    <row r="58" spans="1:9" x14ac:dyDescent="0.25">
      <c r="A58" s="1" t="s">
        <v>547</v>
      </c>
      <c r="B58" s="1">
        <f>AVERAGE(89.947,87.72)</f>
        <v>88.833500000000001</v>
      </c>
      <c r="C58" s="1">
        <f t="shared" si="2"/>
        <v>366.17271228359442</v>
      </c>
      <c r="D58" s="1" t="str">
        <f t="shared" si="3"/>
        <v>No</v>
      </c>
      <c r="E58" s="1" t="s">
        <v>315</v>
      </c>
      <c r="F58" s="1" t="s">
        <v>96</v>
      </c>
      <c r="G58" s="5">
        <v>242600</v>
      </c>
      <c r="H58" s="1" t="s">
        <v>38</v>
      </c>
      <c r="I58" s="7">
        <v>45502</v>
      </c>
    </row>
    <row r="59" spans="1:9" x14ac:dyDescent="0.25">
      <c r="A59" s="1" t="s">
        <v>548</v>
      </c>
      <c r="B59" s="1">
        <f>AVERAGE(89.553,89.554)</f>
        <v>89.5535</v>
      </c>
      <c r="C59" s="1">
        <f t="shared" si="2"/>
        <v>403.94000902119984</v>
      </c>
      <c r="D59" s="1" t="str">
        <f>IF(ISERROR(FIND("/",E59)), "No", "Yes")</f>
        <v>No</v>
      </c>
      <c r="E59" s="1" t="s">
        <v>549</v>
      </c>
      <c r="F59" s="1" t="s">
        <v>96</v>
      </c>
      <c r="G59" s="5">
        <v>221700</v>
      </c>
      <c r="H59" s="1" t="s">
        <v>38</v>
      </c>
      <c r="I59" s="7">
        <v>45502</v>
      </c>
    </row>
    <row r="60" spans="1:9" x14ac:dyDescent="0.25">
      <c r="A60" s="1" t="s">
        <v>553</v>
      </c>
      <c r="B60" s="1">
        <f>AVERAGE(61.182,61.221)</f>
        <v>61.201499999999996</v>
      </c>
      <c r="C60" s="1">
        <f t="shared" si="2"/>
        <v>93.651874521805652</v>
      </c>
      <c r="D60" s="1" t="str">
        <f>IF(ISERROR(FIND("/",E60)), "No", "Yes")</f>
        <v>Yes</v>
      </c>
      <c r="E60" s="1" t="s">
        <v>556</v>
      </c>
      <c r="F60" s="1" t="s">
        <v>6</v>
      </c>
      <c r="G60" s="5">
        <v>653500</v>
      </c>
      <c r="H60" s="1" t="s">
        <v>38</v>
      </c>
      <c r="I60" s="7">
        <v>45506</v>
      </c>
    </row>
    <row r="61" spans="1:9" x14ac:dyDescent="0.25">
      <c r="A61" s="1" t="s">
        <v>557</v>
      </c>
      <c r="B61" s="1">
        <f>AVERAGE(10.09,10.093,10.242)</f>
        <v>10.141666666666667</v>
      </c>
      <c r="C61" s="1">
        <f t="shared" si="2"/>
        <v>73.597000483792939</v>
      </c>
      <c r="D61" s="1" t="str">
        <f t="shared" ref="D61:D95" si="4">IF(ISERROR(FIND("/",E61)), "No", "Yes")</f>
        <v>Yes</v>
      </c>
      <c r="E61" s="1" t="s">
        <v>571</v>
      </c>
      <c r="F61" s="1" t="s">
        <v>6</v>
      </c>
      <c r="G61" s="5">
        <v>137800</v>
      </c>
      <c r="H61" s="1" t="s">
        <v>38</v>
      </c>
      <c r="I61" s="7">
        <v>45506</v>
      </c>
    </row>
    <row r="62" spans="1:9" x14ac:dyDescent="0.25">
      <c r="A62" s="1" t="s">
        <v>558</v>
      </c>
      <c r="B62" s="1">
        <f>AVERAGE(25.807,25.771)</f>
        <v>25.789000000000001</v>
      </c>
      <c r="C62" s="1">
        <f t="shared" si="2"/>
        <v>94.428536905084471</v>
      </c>
      <c r="D62" s="1" t="str">
        <f t="shared" si="4"/>
        <v>Yes</v>
      </c>
      <c r="E62" s="1" t="s">
        <v>572</v>
      </c>
      <c r="F62" s="1" t="s">
        <v>6</v>
      </c>
      <c r="G62" s="5">
        <v>273106</v>
      </c>
      <c r="H62" s="1" t="s">
        <v>38</v>
      </c>
      <c r="I62" s="7">
        <v>45506</v>
      </c>
    </row>
    <row r="63" spans="1:9" x14ac:dyDescent="0.25">
      <c r="A63" s="1" t="s">
        <v>559</v>
      </c>
      <c r="B63" s="1">
        <f>AVERAGE(23.114,23.127)</f>
        <v>23.1205</v>
      </c>
      <c r="C63" s="1">
        <f t="shared" si="2"/>
        <v>107.33751160631384</v>
      </c>
      <c r="D63" s="1" t="str">
        <f t="shared" si="4"/>
        <v>No</v>
      </c>
      <c r="E63" s="1" t="s">
        <v>573</v>
      </c>
      <c r="F63" s="1" t="s">
        <v>96</v>
      </c>
      <c r="G63" s="5">
        <v>215400</v>
      </c>
      <c r="H63" s="1" t="s">
        <v>38</v>
      </c>
      <c r="I63" s="7">
        <v>45506</v>
      </c>
    </row>
    <row r="64" spans="1:9" x14ac:dyDescent="0.25">
      <c r="A64" s="1" t="s">
        <v>560</v>
      </c>
      <c r="B64" s="1">
        <f>AVERAGE(59.629,60.043)</f>
        <v>59.835999999999999</v>
      </c>
      <c r="C64" s="1">
        <f t="shared" si="2"/>
        <v>89.938373666015337</v>
      </c>
      <c r="D64" s="1" t="str">
        <f t="shared" si="4"/>
        <v>Yes</v>
      </c>
      <c r="E64" s="1" t="s">
        <v>574</v>
      </c>
      <c r="F64" s="1" t="s">
        <v>6</v>
      </c>
      <c r="G64" s="5">
        <v>665300</v>
      </c>
      <c r="H64" s="1" t="s">
        <v>38</v>
      </c>
      <c r="I64" s="7">
        <v>45506</v>
      </c>
    </row>
    <row r="65" spans="1:9" x14ac:dyDescent="0.25">
      <c r="A65" s="1" t="s">
        <v>561</v>
      </c>
      <c r="B65" s="1">
        <f>AVERAGE(67.894,67.486)</f>
        <v>67.69</v>
      </c>
      <c r="C65" s="1">
        <f t="shared" si="2"/>
        <v>90.883458646616546</v>
      </c>
      <c r="D65" s="1" t="str">
        <f t="shared" si="4"/>
        <v>Yes</v>
      </c>
      <c r="E65" s="1" t="s">
        <v>575</v>
      </c>
      <c r="F65" s="1" t="s">
        <v>6</v>
      </c>
      <c r="G65" s="5">
        <v>744800</v>
      </c>
      <c r="H65" s="1" t="s">
        <v>38</v>
      </c>
      <c r="I65" s="7">
        <v>45506</v>
      </c>
    </row>
    <row r="66" spans="1:9" x14ac:dyDescent="0.25">
      <c r="A66" s="1" t="s">
        <v>562</v>
      </c>
      <c r="B66" s="1">
        <f>AVERAGE(55.117,54.441)</f>
        <v>54.778999999999996</v>
      </c>
      <c r="C66" s="1">
        <f t="shared" si="2"/>
        <v>96.374032371569314</v>
      </c>
      <c r="D66" s="1" t="str">
        <f t="shared" si="4"/>
        <v>No</v>
      </c>
      <c r="E66" s="1" t="s">
        <v>576</v>
      </c>
      <c r="F66" s="1" t="s">
        <v>6</v>
      </c>
      <c r="G66" s="5">
        <v>568400</v>
      </c>
      <c r="H66" s="1" t="s">
        <v>38</v>
      </c>
      <c r="I66" s="7">
        <v>45506</v>
      </c>
    </row>
    <row r="67" spans="1:9" x14ac:dyDescent="0.25">
      <c r="A67" s="1" t="s">
        <v>563</v>
      </c>
      <c r="B67" s="1">
        <f>AVERAGE(56.19,56.643)</f>
        <v>56.416499999999999</v>
      </c>
      <c r="C67" s="1">
        <f t="shared" si="2"/>
        <v>94.137326881361588</v>
      </c>
      <c r="D67" s="1" t="str">
        <f t="shared" si="4"/>
        <v>No</v>
      </c>
      <c r="E67" s="1" t="s">
        <v>577</v>
      </c>
      <c r="F67" s="1" t="s">
        <v>6</v>
      </c>
      <c r="G67" s="5">
        <v>599300</v>
      </c>
      <c r="H67" s="1" t="s">
        <v>38</v>
      </c>
      <c r="I67" s="7">
        <v>45506</v>
      </c>
    </row>
    <row r="68" spans="1:9" x14ac:dyDescent="0.25">
      <c r="A68" s="1" t="s">
        <v>564</v>
      </c>
      <c r="B68" s="1">
        <f>AVERAGE(15.269,15.382)</f>
        <v>15.3255</v>
      </c>
      <c r="C68" s="1">
        <f t="shared" si="2"/>
        <v>91.11474435196196</v>
      </c>
      <c r="D68" s="1" t="str">
        <f t="shared" si="4"/>
        <v>Yes</v>
      </c>
      <c r="E68" s="1" t="s">
        <v>578</v>
      </c>
      <c r="F68" s="1" t="s">
        <v>6</v>
      </c>
      <c r="G68" s="5">
        <v>168200</v>
      </c>
      <c r="H68" s="1" t="s">
        <v>38</v>
      </c>
      <c r="I68" s="7">
        <v>45506</v>
      </c>
    </row>
    <row r="69" spans="1:9" x14ac:dyDescent="0.25">
      <c r="A69" s="1" t="s">
        <v>565</v>
      </c>
      <c r="B69" s="1">
        <f>AVERAGE(26.667,26.699)</f>
        <v>26.683</v>
      </c>
      <c r="C69" s="1">
        <f t="shared" si="2"/>
        <v>97.097588844493941</v>
      </c>
      <c r="D69" s="1" t="str">
        <f t="shared" si="4"/>
        <v>Yes</v>
      </c>
      <c r="E69" s="1" t="s">
        <v>579</v>
      </c>
      <c r="F69" s="1" t="s">
        <v>6</v>
      </c>
      <c r="G69" s="5">
        <v>274806</v>
      </c>
      <c r="H69" s="1" t="s">
        <v>38</v>
      </c>
      <c r="I69" s="7">
        <v>45506</v>
      </c>
    </row>
    <row r="70" spans="1:9" x14ac:dyDescent="0.25">
      <c r="A70" s="1" t="s">
        <v>566</v>
      </c>
      <c r="B70" s="1">
        <f>AVERAGE(21.043,20.846)</f>
        <v>20.944499999999998</v>
      </c>
      <c r="C70" s="1">
        <f t="shared" si="2"/>
        <v>102.71947032859244</v>
      </c>
      <c r="D70" s="1" t="str">
        <f t="shared" si="4"/>
        <v>No</v>
      </c>
      <c r="E70" t="s">
        <v>580</v>
      </c>
      <c r="F70" s="1" t="s">
        <v>96</v>
      </c>
      <c r="G70" s="5">
        <v>203900</v>
      </c>
      <c r="H70" s="1" t="s">
        <v>38</v>
      </c>
      <c r="I70" s="7">
        <v>45506</v>
      </c>
    </row>
    <row r="71" spans="1:9" x14ac:dyDescent="0.25">
      <c r="A71" s="1" t="s">
        <v>567</v>
      </c>
      <c r="B71" s="1">
        <f>AVERAGE(58.96,58.767)</f>
        <v>58.863500000000002</v>
      </c>
      <c r="C71" s="1">
        <f t="shared" si="2"/>
        <v>90.088001224364874</v>
      </c>
      <c r="D71" s="1" t="str">
        <f t="shared" si="4"/>
        <v>Yes</v>
      </c>
      <c r="E71" t="s">
        <v>581</v>
      </c>
      <c r="F71" s="1" t="s">
        <v>6</v>
      </c>
      <c r="G71" s="5">
        <v>653400</v>
      </c>
      <c r="H71" s="1" t="s">
        <v>38</v>
      </c>
      <c r="I71" s="7">
        <v>45506</v>
      </c>
    </row>
    <row r="72" spans="1:9" x14ac:dyDescent="0.25">
      <c r="A72" s="1" t="s">
        <v>568</v>
      </c>
      <c r="B72" s="1">
        <f>AVERAGE(71.77,71.093)</f>
        <v>71.4315</v>
      </c>
      <c r="C72" s="1">
        <f t="shared" si="2"/>
        <v>95.611698567795472</v>
      </c>
      <c r="D72" s="1" t="str">
        <f t="shared" si="4"/>
        <v>Yes</v>
      </c>
      <c r="E72" t="s">
        <v>582</v>
      </c>
      <c r="F72" s="1" t="s">
        <v>6</v>
      </c>
      <c r="G72" s="5">
        <v>747100</v>
      </c>
      <c r="H72" s="1" t="s">
        <v>38</v>
      </c>
      <c r="I72" s="7">
        <v>45506</v>
      </c>
    </row>
    <row r="73" spans="1:9" x14ac:dyDescent="0.25">
      <c r="A73" s="1" t="s">
        <v>569</v>
      </c>
      <c r="B73" s="1">
        <f>AVERAGE(53.472,53.361)</f>
        <v>53.416499999999999</v>
      </c>
      <c r="C73" s="1">
        <f t="shared" si="2"/>
        <v>95.917579457712336</v>
      </c>
      <c r="D73" s="1" t="str">
        <f t="shared" si="4"/>
        <v>No</v>
      </c>
      <c r="E73" t="s">
        <v>583</v>
      </c>
      <c r="F73" s="1" t="s">
        <v>6</v>
      </c>
      <c r="G73" s="5">
        <v>556900</v>
      </c>
      <c r="H73" s="1" t="s">
        <v>38</v>
      </c>
      <c r="I73" s="7">
        <v>45506</v>
      </c>
    </row>
    <row r="74" spans="1:9" x14ac:dyDescent="0.25">
      <c r="A74" s="1" t="s">
        <v>570</v>
      </c>
      <c r="B74" s="1">
        <f>AVERAGE(55.776,55.899)</f>
        <v>55.837500000000006</v>
      </c>
      <c r="C74" s="1">
        <f t="shared" si="2"/>
        <v>92.907653910149762</v>
      </c>
      <c r="D74" s="1" t="str">
        <f t="shared" si="4"/>
        <v>No</v>
      </c>
      <c r="E74" t="s">
        <v>584</v>
      </c>
      <c r="F74" s="1" t="s">
        <v>6</v>
      </c>
      <c r="G74" s="5">
        <v>601000</v>
      </c>
      <c r="H74" s="1" t="s">
        <v>38</v>
      </c>
      <c r="I74" s="7">
        <v>45506</v>
      </c>
    </row>
    <row r="75" spans="1:9" x14ac:dyDescent="0.25">
      <c r="A75" t="s">
        <v>593</v>
      </c>
      <c r="B75" s="1">
        <f>AVERAGE(34.373,33.986)</f>
        <v>34.179499999999997</v>
      </c>
      <c r="C75" s="1">
        <f t="shared" si="2"/>
        <v>83.876073619631896</v>
      </c>
      <c r="D75" s="1" t="str">
        <f t="shared" si="4"/>
        <v>No</v>
      </c>
      <c r="E75" s="1" t="s">
        <v>598</v>
      </c>
      <c r="F75" s="1" t="s">
        <v>96</v>
      </c>
      <c r="G75" s="5">
        <v>407500</v>
      </c>
      <c r="H75" s="1" t="s">
        <v>38</v>
      </c>
      <c r="I75" s="7">
        <v>45602</v>
      </c>
    </row>
    <row r="76" spans="1:9" x14ac:dyDescent="0.25">
      <c r="A76" t="s">
        <v>594</v>
      </c>
      <c r="B76" s="1">
        <f>AVERAGE(32.122,32.155)</f>
        <v>32.138500000000001</v>
      </c>
      <c r="C76" s="1">
        <f t="shared" si="2"/>
        <v>85.225404402015386</v>
      </c>
      <c r="D76" s="1" t="str">
        <f t="shared" si="4"/>
        <v>No</v>
      </c>
      <c r="E76" s="1" t="s">
        <v>599</v>
      </c>
      <c r="F76" s="1" t="s">
        <v>96</v>
      </c>
      <c r="G76" s="5">
        <v>377100</v>
      </c>
      <c r="H76" s="1" t="s">
        <v>38</v>
      </c>
      <c r="I76" s="7">
        <v>45602</v>
      </c>
    </row>
    <row r="77" spans="1:9" x14ac:dyDescent="0.25">
      <c r="A77" t="s">
        <v>595</v>
      </c>
      <c r="B77" s="1">
        <f>AVERAGE(42.179,42.742)</f>
        <v>42.460499999999996</v>
      </c>
      <c r="C77" s="1">
        <f t="shared" si="2"/>
        <v>93.937912328597406</v>
      </c>
      <c r="D77" s="1" t="str">
        <f t="shared" si="4"/>
        <v>Yes</v>
      </c>
      <c r="E77" s="1" t="s">
        <v>600</v>
      </c>
      <c r="F77" s="1" t="s">
        <v>6</v>
      </c>
      <c r="G77" s="5">
        <v>452006</v>
      </c>
      <c r="H77" s="1" t="s">
        <v>38</v>
      </c>
      <c r="I77" s="7">
        <v>45602</v>
      </c>
    </row>
    <row r="78" spans="1:9" x14ac:dyDescent="0.25">
      <c r="A78" t="s">
        <v>596</v>
      </c>
      <c r="B78" s="1">
        <f>AVERAGE(38.612,38.508)</f>
        <v>38.56</v>
      </c>
      <c r="C78" s="1">
        <f t="shared" si="2"/>
        <v>93.410852713178301</v>
      </c>
      <c r="D78" s="1" t="str">
        <f t="shared" si="4"/>
        <v>Yes</v>
      </c>
      <c r="E78" s="1" t="s">
        <v>601</v>
      </c>
      <c r="F78" s="1" t="s">
        <v>6</v>
      </c>
      <c r="G78" s="5">
        <v>412800</v>
      </c>
      <c r="H78" s="1" t="s">
        <v>38</v>
      </c>
      <c r="I78" s="7">
        <v>45602</v>
      </c>
    </row>
    <row r="79" spans="1:9" x14ac:dyDescent="0.25">
      <c r="A79" t="s">
        <v>597</v>
      </c>
      <c r="B79" s="1">
        <f>AVERAGE(58.083,57.962)</f>
        <v>58.022500000000001</v>
      </c>
      <c r="C79" s="1">
        <f t="shared" si="2"/>
        <v>329.29909194097615</v>
      </c>
      <c r="D79" s="1" t="str">
        <f t="shared" si="4"/>
        <v>No</v>
      </c>
      <c r="E79" s="1" t="s">
        <v>602</v>
      </c>
      <c r="F79" s="1" t="s">
        <v>96</v>
      </c>
      <c r="G79" s="5">
        <v>176200</v>
      </c>
      <c r="H79" s="1" t="s">
        <v>38</v>
      </c>
      <c r="I79" s="7">
        <v>45602</v>
      </c>
    </row>
    <row r="80" spans="1:9" x14ac:dyDescent="0.25">
      <c r="A80" s="1" t="s">
        <v>604</v>
      </c>
      <c r="B80" s="1">
        <f>AVERAGE(27.366,26.813)</f>
        <v>27.089500000000001</v>
      </c>
      <c r="C80" s="1">
        <f t="shared" si="2"/>
        <v>88.050978849823025</v>
      </c>
      <c r="D80" s="1" t="str">
        <f t="shared" si="4"/>
        <v>Yes</v>
      </c>
      <c r="E80" t="s">
        <v>605</v>
      </c>
      <c r="F80" s="1" t="s">
        <v>6</v>
      </c>
      <c r="G80" s="5">
        <v>307657</v>
      </c>
      <c r="H80" s="1" t="s">
        <v>38</v>
      </c>
      <c r="I80" s="7">
        <v>45693</v>
      </c>
    </row>
    <row r="81" spans="1:9" x14ac:dyDescent="0.25">
      <c r="A81" s="1" t="s">
        <v>652</v>
      </c>
      <c r="B81" s="1">
        <f>AVERAGE(84.192,84.235)</f>
        <v>84.213499999999996</v>
      </c>
      <c r="C81" s="1">
        <f t="shared" si="2"/>
        <v>85.591523528813909</v>
      </c>
      <c r="D81" s="1" t="str">
        <f t="shared" si="4"/>
        <v>Yes</v>
      </c>
      <c r="E81" t="s">
        <v>606</v>
      </c>
      <c r="F81" s="1" t="s">
        <v>36</v>
      </c>
      <c r="G81" s="5">
        <v>983900</v>
      </c>
      <c r="H81" s="1" t="s">
        <v>38</v>
      </c>
      <c r="I81" s="7">
        <v>45693</v>
      </c>
    </row>
    <row r="82" spans="1:9" x14ac:dyDescent="0.25">
      <c r="A82" s="1" t="s">
        <v>651</v>
      </c>
      <c r="B82" s="1">
        <f>AVERAGE(59.069,60.295)</f>
        <v>59.682000000000002</v>
      </c>
      <c r="C82" s="1">
        <f t="shared" si="2"/>
        <v>90.537014563106794</v>
      </c>
      <c r="D82" s="1" t="str">
        <f t="shared" si="4"/>
        <v>Yes</v>
      </c>
      <c r="E82" s="1" t="s">
        <v>607</v>
      </c>
      <c r="F82" s="1" t="s">
        <v>6</v>
      </c>
      <c r="G82" s="5">
        <v>659200</v>
      </c>
      <c r="H82" s="1" t="s">
        <v>38</v>
      </c>
      <c r="I82" s="7">
        <v>45693</v>
      </c>
    </row>
    <row r="83" spans="1:9" x14ac:dyDescent="0.25">
      <c r="A83" s="1" t="s">
        <v>638</v>
      </c>
      <c r="B83" s="1">
        <f>AVERAGE(28.311,29.028)</f>
        <v>28.669499999999999</v>
      </c>
      <c r="C83" s="1">
        <f t="shared" si="2"/>
        <v>99.856847296817193</v>
      </c>
      <c r="D83" s="1" t="str">
        <f t="shared" si="4"/>
        <v>Yes</v>
      </c>
      <c r="E83" s="1" t="s">
        <v>640</v>
      </c>
      <c r="F83" s="1" t="s">
        <v>6</v>
      </c>
      <c r="G83" s="5">
        <v>287106</v>
      </c>
      <c r="H83" s="1" t="s">
        <v>38</v>
      </c>
      <c r="I83" s="7">
        <v>45751</v>
      </c>
    </row>
    <row r="84" spans="1:9" x14ac:dyDescent="0.25">
      <c r="A84" s="1" t="s">
        <v>639</v>
      </c>
      <c r="B84" s="1">
        <f>AVERAGE(29.016,29.136)</f>
        <v>29.076000000000001</v>
      </c>
      <c r="C84" s="1">
        <f t="shared" si="2"/>
        <v>112.96037296037295</v>
      </c>
      <c r="D84" s="1" t="str">
        <f t="shared" si="4"/>
        <v>Yes</v>
      </c>
      <c r="E84" s="1" t="s">
        <v>641</v>
      </c>
      <c r="F84" s="1" t="s">
        <v>6</v>
      </c>
      <c r="G84" s="5">
        <v>257400</v>
      </c>
      <c r="H84" s="1" t="s">
        <v>38</v>
      </c>
      <c r="I84" s="7">
        <v>45751</v>
      </c>
    </row>
    <row r="85" spans="1:9" x14ac:dyDescent="0.25">
      <c r="A85" s="1" t="s">
        <v>653</v>
      </c>
      <c r="B85" s="1">
        <f>AVERAGE(62.54,63.316)</f>
        <v>62.927999999999997</v>
      </c>
      <c r="C85" s="1">
        <f t="shared" si="2"/>
        <v>93.295774647887313</v>
      </c>
      <c r="D85" s="1" t="str">
        <f t="shared" si="4"/>
        <v>No</v>
      </c>
      <c r="E85" s="1" t="s">
        <v>660</v>
      </c>
      <c r="F85" s="1" t="s">
        <v>96</v>
      </c>
      <c r="G85" s="5">
        <v>674500</v>
      </c>
      <c r="H85" s="1" t="s">
        <v>38</v>
      </c>
      <c r="I85" s="7">
        <v>45876</v>
      </c>
    </row>
    <row r="86" spans="1:9" x14ac:dyDescent="0.25">
      <c r="A86" s="1" t="s">
        <v>654</v>
      </c>
      <c r="B86" s="1">
        <f>AVERAGE(63.209,63.733)</f>
        <v>63.471000000000004</v>
      </c>
      <c r="C86" s="1">
        <f t="shared" si="2"/>
        <v>91.246405980448529</v>
      </c>
      <c r="D86" s="1" t="str">
        <f t="shared" si="4"/>
        <v>No</v>
      </c>
      <c r="E86" s="1" t="s">
        <v>661</v>
      </c>
      <c r="F86" s="1" t="s">
        <v>96</v>
      </c>
      <c r="G86" s="5">
        <v>695600</v>
      </c>
      <c r="H86" s="1" t="s">
        <v>38</v>
      </c>
      <c r="I86" s="7">
        <v>45876</v>
      </c>
    </row>
    <row r="87" spans="1:9" x14ac:dyDescent="0.25">
      <c r="A87" s="1" t="s">
        <v>655</v>
      </c>
      <c r="B87" s="1">
        <f>AVERAGE(63.393,63.566)</f>
        <v>63.479500000000002</v>
      </c>
      <c r="C87" s="1">
        <f t="shared" si="2"/>
        <v>89.294556196370792</v>
      </c>
      <c r="D87" s="1" t="str">
        <f t="shared" si="4"/>
        <v>No</v>
      </c>
      <c r="E87" s="1" t="s">
        <v>662</v>
      </c>
      <c r="F87" s="1" t="s">
        <v>96</v>
      </c>
      <c r="G87" s="5">
        <v>710900</v>
      </c>
      <c r="H87" s="1" t="s">
        <v>38</v>
      </c>
      <c r="I87" s="7">
        <v>45876</v>
      </c>
    </row>
    <row r="88" spans="1:9" x14ac:dyDescent="0.25">
      <c r="A88" s="1" t="s">
        <v>656</v>
      </c>
      <c r="B88" s="1">
        <f>AVERAGE(65.229, 65.873)</f>
        <v>65.551000000000002</v>
      </c>
      <c r="C88" s="1">
        <f t="shared" si="2"/>
        <v>89.282211931353856</v>
      </c>
      <c r="D88" s="1" t="str">
        <f t="shared" si="4"/>
        <v>No</v>
      </c>
      <c r="E88" s="1" t="s">
        <v>663</v>
      </c>
      <c r="F88" s="1" t="s">
        <v>96</v>
      </c>
      <c r="G88" s="5">
        <v>734200</v>
      </c>
      <c r="H88" s="1" t="s">
        <v>38</v>
      </c>
      <c r="I88" s="7">
        <v>45876</v>
      </c>
    </row>
    <row r="89" spans="1:9" x14ac:dyDescent="0.25">
      <c r="A89" s="1" t="s">
        <v>657</v>
      </c>
      <c r="B89" s="1">
        <f>AVERAGE(55.413,54.856)</f>
        <v>55.134500000000003</v>
      </c>
      <c r="C89" s="1">
        <f t="shared" si="2"/>
        <v>79.261788384128806</v>
      </c>
      <c r="D89" s="1" t="str">
        <f t="shared" si="4"/>
        <v>No</v>
      </c>
      <c r="E89" s="1" t="s">
        <v>661</v>
      </c>
      <c r="F89" s="1" t="s">
        <v>6</v>
      </c>
      <c r="G89" s="5">
        <v>695600</v>
      </c>
      <c r="H89" s="1" t="s">
        <v>38</v>
      </c>
      <c r="I89" s="7">
        <v>45876</v>
      </c>
    </row>
    <row r="90" spans="1:9" x14ac:dyDescent="0.25">
      <c r="A90" s="1" t="s">
        <v>658</v>
      </c>
      <c r="B90" s="1">
        <f>AVERAGE(52.586, 52.887)</f>
        <v>52.736499999999999</v>
      </c>
      <c r="C90" s="1">
        <f t="shared" si="2"/>
        <v>74.182726121817424</v>
      </c>
      <c r="D90" s="1" t="str">
        <f t="shared" si="4"/>
        <v>No</v>
      </c>
      <c r="E90" t="s">
        <v>662</v>
      </c>
      <c r="F90" s="1" t="s">
        <v>6</v>
      </c>
      <c r="G90" s="5">
        <v>710900</v>
      </c>
      <c r="H90" s="1" t="s">
        <v>38</v>
      </c>
      <c r="I90" s="7">
        <v>45876</v>
      </c>
    </row>
    <row r="91" spans="1:9" x14ac:dyDescent="0.25">
      <c r="A91" s="1" t="s">
        <v>659</v>
      </c>
      <c r="B91" s="1">
        <f>AVERAGE(54.968,55.516)</f>
        <v>55.242000000000004</v>
      </c>
      <c r="C91" s="1">
        <f>B91/G91*1000000</f>
        <v>75.241078725143012</v>
      </c>
      <c r="D91" s="1" t="str">
        <f t="shared" si="4"/>
        <v>No</v>
      </c>
      <c r="E91" t="s">
        <v>663</v>
      </c>
      <c r="F91" s="1" t="s">
        <v>6</v>
      </c>
      <c r="G91" s="5">
        <v>734200</v>
      </c>
      <c r="H91" s="1" t="s">
        <v>38</v>
      </c>
      <c r="I91" s="7">
        <v>45876</v>
      </c>
    </row>
    <row r="92" spans="1:9" x14ac:dyDescent="0.25">
      <c r="A92" s="1" t="s">
        <v>664</v>
      </c>
      <c r="C92" s="1">
        <f t="shared" ref="C92:C95" si="5">B92/G92*1000000</f>
        <v>0</v>
      </c>
      <c r="D92" s="1" t="str">
        <f t="shared" si="4"/>
        <v>Yes</v>
      </c>
      <c r="E92" t="s">
        <v>666</v>
      </c>
      <c r="F92" s="1" t="s">
        <v>96</v>
      </c>
      <c r="G92" s="5">
        <v>207500</v>
      </c>
      <c r="H92" s="1" t="s">
        <v>38</v>
      </c>
      <c r="I92" s="7">
        <v>46072</v>
      </c>
    </row>
    <row r="93" spans="1:9" x14ac:dyDescent="0.25">
      <c r="A93" s="1" t="s">
        <v>665</v>
      </c>
      <c r="C93" s="1">
        <f t="shared" si="5"/>
        <v>0</v>
      </c>
      <c r="D93" s="1" t="str">
        <f t="shared" si="4"/>
        <v>Yes</v>
      </c>
      <c r="E93" s="1" t="s">
        <v>667</v>
      </c>
      <c r="F93" s="1" t="s">
        <v>96</v>
      </c>
      <c r="G93" s="5">
        <v>246200</v>
      </c>
      <c r="H93" s="1" t="s">
        <v>38</v>
      </c>
      <c r="I93" s="7">
        <v>46072</v>
      </c>
    </row>
    <row r="94" spans="1:9" x14ac:dyDescent="0.25">
      <c r="A94" t="s">
        <v>689</v>
      </c>
      <c r="B94" s="1">
        <f>AVERAGE(51.949, 50.999)</f>
        <v>51.474000000000004</v>
      </c>
      <c r="C94" s="1">
        <f t="shared" si="5"/>
        <v>82.226837060702877</v>
      </c>
      <c r="D94" s="1" t="str">
        <f t="shared" si="4"/>
        <v>Yes</v>
      </c>
      <c r="E94" t="s">
        <v>690</v>
      </c>
      <c r="F94" s="1" t="s">
        <v>6</v>
      </c>
      <c r="G94" s="5">
        <v>626000</v>
      </c>
      <c r="H94" s="1" t="s">
        <v>38</v>
      </c>
      <c r="I94" s="7">
        <v>46063</v>
      </c>
    </row>
    <row r="95" spans="1:9" x14ac:dyDescent="0.25">
      <c r="A95" t="s">
        <v>688</v>
      </c>
      <c r="C95" s="1">
        <f t="shared" si="5"/>
        <v>0</v>
      </c>
      <c r="D95" s="1" t="str">
        <f t="shared" si="4"/>
        <v>Yes</v>
      </c>
      <c r="E95" t="s">
        <v>691</v>
      </c>
      <c r="F95" s="1" t="s">
        <v>6</v>
      </c>
      <c r="G95" s="5">
        <v>587400</v>
      </c>
      <c r="H95" s="1" t="s">
        <v>38</v>
      </c>
      <c r="I95" s="7">
        <v>46063</v>
      </c>
    </row>
    <row r="110" spans="9:9" x14ac:dyDescent="0.25">
      <c r="I110" s="6"/>
    </row>
    <row r="111" spans="9:9" x14ac:dyDescent="0.25">
      <c r="I111" s="6"/>
    </row>
    <row r="112" spans="9:9" x14ac:dyDescent="0.25">
      <c r="I112" s="6"/>
    </row>
    <row r="113" spans="5:9" x14ac:dyDescent="0.25">
      <c r="I113" s="6"/>
    </row>
    <row r="114" spans="5:9" x14ac:dyDescent="0.25">
      <c r="I114" s="6"/>
    </row>
    <row r="115" spans="5:9" x14ac:dyDescent="0.25">
      <c r="E115"/>
      <c r="I115" s="6"/>
    </row>
    <row r="116" spans="5:9" x14ac:dyDescent="0.25">
      <c r="I116" s="6"/>
    </row>
    <row r="117" spans="5:9" x14ac:dyDescent="0.25">
      <c r="I117" s="6"/>
    </row>
    <row r="132" spans="9:9" x14ac:dyDescent="0.25">
      <c r="I132" s="6"/>
    </row>
    <row r="133" spans="9:9" x14ac:dyDescent="0.25">
      <c r="I133" s="6"/>
    </row>
    <row r="134" spans="9:9" x14ac:dyDescent="0.25">
      <c r="I134" s="6"/>
    </row>
  </sheetData>
  <conditionalFormatting sqref="C1:C2 C21 C96:C1048576">
    <cfRule type="colorScale" priority="40">
      <colorScale>
        <cfvo type="num" val="50"/>
        <cfvo type="num" val="100"/>
        <cfvo type="num" val="200"/>
        <color theme="5" tint="-0.249977111117893"/>
        <color theme="0"/>
        <color theme="4" tint="-0.249977111117893"/>
      </colorScale>
    </cfRule>
  </conditionalFormatting>
  <conditionalFormatting sqref="C3:C4">
    <cfRule type="colorScale" priority="31">
      <colorScale>
        <cfvo type="num" val="50"/>
        <cfvo type="num" val="100"/>
        <cfvo type="num" val="200"/>
        <color theme="5" tint="-0.249977111117893"/>
        <color theme="0"/>
        <color theme="4" tint="-0.249977111117893"/>
      </colorScale>
    </cfRule>
  </conditionalFormatting>
  <conditionalFormatting sqref="C5">
    <cfRule type="colorScale" priority="28">
      <colorScale>
        <cfvo type="num" val="50"/>
        <cfvo type="num" val="100"/>
        <cfvo type="num" val="200"/>
        <color theme="5" tint="-0.249977111117893"/>
        <color theme="0"/>
        <color theme="4" tint="-0.249977111117893"/>
      </colorScale>
    </cfRule>
  </conditionalFormatting>
  <conditionalFormatting sqref="C6">
    <cfRule type="colorScale" priority="25">
      <colorScale>
        <cfvo type="num" val="50"/>
        <cfvo type="num" val="100"/>
        <cfvo type="num" val="200"/>
        <color theme="5" tint="-0.249977111117893"/>
        <color theme="0"/>
        <color theme="4" tint="-0.249977111117893"/>
      </colorScale>
    </cfRule>
  </conditionalFormatting>
  <conditionalFormatting sqref="C7">
    <cfRule type="colorScale" priority="22">
      <colorScale>
        <cfvo type="num" val="50"/>
        <cfvo type="num" val="100"/>
        <cfvo type="num" val="200"/>
        <color theme="5" tint="-0.249977111117893"/>
        <color theme="0"/>
        <color theme="4" tint="-0.249977111117893"/>
      </colorScale>
    </cfRule>
  </conditionalFormatting>
  <conditionalFormatting sqref="C8:C9">
    <cfRule type="colorScale" priority="19">
      <colorScale>
        <cfvo type="num" val="50"/>
        <cfvo type="num" val="100"/>
        <cfvo type="num" val="200"/>
        <color theme="5" tint="-0.249977111117893"/>
        <color theme="0"/>
        <color theme="4" tint="-0.249977111117893"/>
      </colorScale>
    </cfRule>
  </conditionalFormatting>
  <conditionalFormatting sqref="C10:C16">
    <cfRule type="colorScale" priority="16">
      <colorScale>
        <cfvo type="num" val="50"/>
        <cfvo type="num" val="100"/>
        <cfvo type="num" val="200"/>
        <color theme="5" tint="-0.249977111117893"/>
        <color theme="0"/>
        <color theme="4" tint="-0.249977111117893"/>
      </colorScale>
    </cfRule>
  </conditionalFormatting>
  <conditionalFormatting sqref="C17:C20">
    <cfRule type="colorScale" priority="13">
      <colorScale>
        <cfvo type="num" val="50"/>
        <cfvo type="num" val="100"/>
        <cfvo type="num" val="200"/>
        <color theme="5" tint="-0.249977111117893"/>
        <color theme="0"/>
        <color theme="4" tint="-0.249977111117893"/>
      </colorScale>
    </cfRule>
  </conditionalFormatting>
  <conditionalFormatting sqref="C22:C25">
    <cfRule type="colorScale" priority="7">
      <colorScale>
        <cfvo type="num" val="50"/>
        <cfvo type="num" val="100"/>
        <cfvo type="num" val="200"/>
        <color theme="5" tint="-0.249977111117893"/>
        <color theme="0"/>
        <color theme="4" tint="-0.249977111117893"/>
      </colorScale>
    </cfRule>
  </conditionalFormatting>
  <conditionalFormatting sqref="C26:C95">
    <cfRule type="colorScale" priority="5">
      <colorScale>
        <cfvo type="num" val="50"/>
        <cfvo type="num" val="100"/>
        <cfvo type="num" val="200"/>
        <color theme="5" tint="-0.249977111117893"/>
        <color theme="0"/>
        <color theme="4" tint="-0.249977111117893"/>
      </colorScale>
    </cfRule>
  </conditionalFormatting>
  <conditionalFormatting sqref="D3:D117 H3:H117">
    <cfRule type="expression" dxfId="11" priority="3">
      <formula>FIND("Yes", D3)</formula>
    </cfRule>
    <cfRule type="expression" dxfId="10" priority="4">
      <formula>FIND("No", D3)</formula>
    </cfRule>
  </conditionalFormatting>
  <conditionalFormatting sqref="H132:H133 D132:D134">
    <cfRule type="expression" dxfId="9" priority="33">
      <formula>FIND("Yes", D132)</formula>
    </cfRule>
    <cfRule type="expression" dxfId="8" priority="34">
      <formula>FIND("No", D132)</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83AA9-A6CC-4020-9440-E8C386043CBA}">
  <sheetPr codeName="Sheet12"/>
  <dimension ref="A2:J140"/>
  <sheetViews>
    <sheetView zoomScale="90" zoomScaleNormal="90" workbookViewId="0">
      <selection activeCell="B7" sqref="B7"/>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ustomWidth="1"/>
    <col min="7" max="7" width="20.7109375" style="5" customWidth="1"/>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t="s">
        <v>76</v>
      </c>
      <c r="B3" s="1">
        <v>14.635</v>
      </c>
      <c r="C3" s="1">
        <f>B3/G3*1000000</f>
        <v>86.700236966824647</v>
      </c>
      <c r="D3" s="1" t="str">
        <f>IF(ISERROR(FIND("/",E3)), "No", "Yes")</f>
        <v>No</v>
      </c>
      <c r="E3" s="1" t="s">
        <v>81</v>
      </c>
      <c r="F3" t="s">
        <v>6</v>
      </c>
      <c r="G3" s="5">
        <v>168800</v>
      </c>
      <c r="H3" s="1" t="s">
        <v>38</v>
      </c>
    </row>
    <row r="4" spans="1:10" x14ac:dyDescent="0.25">
      <c r="A4" s="1" t="s">
        <v>155</v>
      </c>
      <c r="B4" s="1">
        <f>AVERAGE(42.662,43.03)</f>
        <v>42.846000000000004</v>
      </c>
      <c r="C4" s="1">
        <f>B4/G4*1000000</f>
        <v>162.85062713797038</v>
      </c>
      <c r="D4" s="1" t="str">
        <f>IF(ISERROR(FIND("/",E4)), "No", "Yes")</f>
        <v>No</v>
      </c>
      <c r="E4" s="1" t="s">
        <v>135</v>
      </c>
      <c r="F4" s="1" t="s">
        <v>96</v>
      </c>
      <c r="G4" s="5">
        <v>263100</v>
      </c>
      <c r="H4" s="1" t="s">
        <v>38</v>
      </c>
    </row>
    <row r="5" spans="1:10" x14ac:dyDescent="0.25">
      <c r="A5" s="1" t="s">
        <v>156</v>
      </c>
      <c r="B5" s="1">
        <f>AVERAGE(40.632,41.305)</f>
        <v>40.968499999999999</v>
      </c>
      <c r="C5" s="1">
        <f>B5/G5*1000000</f>
        <v>159.10097087378642</v>
      </c>
      <c r="D5" s="1" t="str">
        <f>IF(ISERROR(FIND("/",E5)), "No", "Yes")</f>
        <v>No</v>
      </c>
      <c r="E5" s="1" t="s">
        <v>136</v>
      </c>
      <c r="F5" s="1" t="s">
        <v>96</v>
      </c>
      <c r="G5" s="5">
        <v>257500</v>
      </c>
      <c r="H5" s="1" t="s">
        <v>38</v>
      </c>
    </row>
    <row r="6" spans="1:10" x14ac:dyDescent="0.25">
      <c r="A6" t="s">
        <v>543</v>
      </c>
      <c r="B6" s="1">
        <f>AVERAGE(31.929,31.765)</f>
        <v>31.847000000000001</v>
      </c>
      <c r="C6" s="1">
        <f>B6/G6*1000000</f>
        <v>93.01109813084112</v>
      </c>
      <c r="D6" s="1" t="str">
        <f>IF(ISERROR(FIND("/",E6)), "No", "Yes")</f>
        <v>No</v>
      </c>
      <c r="E6" t="s">
        <v>545</v>
      </c>
      <c r="F6" s="1" t="s">
        <v>96</v>
      </c>
      <c r="G6" s="5">
        <v>342400</v>
      </c>
      <c r="H6" s="1" t="s">
        <v>38</v>
      </c>
    </row>
    <row r="7" spans="1:10" x14ac:dyDescent="0.25">
      <c r="A7" t="s">
        <v>544</v>
      </c>
      <c r="B7" s="1">
        <f>AVERAGE(34.97,34.646)</f>
        <v>34.808</v>
      </c>
      <c r="C7" s="1">
        <f>B7/G7*1000000</f>
        <v>94.844686648501366</v>
      </c>
      <c r="D7" s="1" t="str">
        <f>IF(ISERROR(FIND("/",E7)), "No", "Yes")</f>
        <v>No</v>
      </c>
      <c r="E7" t="s">
        <v>546</v>
      </c>
      <c r="F7" s="1" t="s">
        <v>96</v>
      </c>
      <c r="G7" s="5">
        <v>367000</v>
      </c>
      <c r="H7" s="1" t="s">
        <v>38</v>
      </c>
    </row>
    <row r="8" spans="1:10" x14ac:dyDescent="0.25">
      <c r="A8"/>
      <c r="E8"/>
    </row>
    <row r="9" spans="1:10" x14ac:dyDescent="0.25">
      <c r="A9"/>
      <c r="E9"/>
    </row>
    <row r="10" spans="1:10" x14ac:dyDescent="0.25">
      <c r="A10"/>
      <c r="E10"/>
    </row>
    <row r="11" spans="1:10" x14ac:dyDescent="0.25">
      <c r="A11"/>
      <c r="E11"/>
    </row>
    <row r="12" spans="1:10" x14ac:dyDescent="0.25">
      <c r="A12"/>
      <c r="E12"/>
      <c r="F12"/>
    </row>
    <row r="13" spans="1:10" x14ac:dyDescent="0.25">
      <c r="A13"/>
      <c r="E13"/>
      <c r="F13"/>
    </row>
    <row r="14" spans="1:10" x14ac:dyDescent="0.25">
      <c r="A14"/>
      <c r="E14"/>
      <c r="F14"/>
    </row>
    <row r="15" spans="1:10" x14ac:dyDescent="0.25">
      <c r="A15"/>
      <c r="E15"/>
      <c r="F15"/>
    </row>
    <row r="16" spans="1:10" x14ac:dyDescent="0.25">
      <c r="A16"/>
      <c r="E16"/>
      <c r="F16"/>
    </row>
    <row r="17" spans="1:6" x14ac:dyDescent="0.25">
      <c r="A17"/>
      <c r="E17"/>
      <c r="F17"/>
    </row>
    <row r="18" spans="1:6" x14ac:dyDescent="0.25">
      <c r="A18"/>
      <c r="E18"/>
      <c r="F18"/>
    </row>
    <row r="19" spans="1:6" x14ac:dyDescent="0.25">
      <c r="A19"/>
      <c r="E19"/>
      <c r="F19"/>
    </row>
    <row r="20" spans="1:6" x14ac:dyDescent="0.25">
      <c r="A20"/>
      <c r="E20"/>
      <c r="F20"/>
    </row>
    <row r="21" spans="1:6" x14ac:dyDescent="0.25">
      <c r="A21"/>
      <c r="F21"/>
    </row>
    <row r="22" spans="1:6" x14ac:dyDescent="0.25">
      <c r="A22"/>
      <c r="F22"/>
    </row>
    <row r="23" spans="1:6" x14ac:dyDescent="0.25">
      <c r="A23"/>
      <c r="F23"/>
    </row>
    <row r="24" spans="1:6" x14ac:dyDescent="0.25">
      <c r="A24"/>
      <c r="F24"/>
    </row>
    <row r="25" spans="1:6" x14ac:dyDescent="0.25">
      <c r="A25"/>
      <c r="F25"/>
    </row>
    <row r="26" spans="1:6" x14ac:dyDescent="0.25">
      <c r="A26"/>
      <c r="F26"/>
    </row>
    <row r="27" spans="1:6" x14ac:dyDescent="0.25">
      <c r="A27"/>
      <c r="F27"/>
    </row>
    <row r="28" spans="1:6" x14ac:dyDescent="0.25">
      <c r="A28"/>
      <c r="F28"/>
    </row>
    <row r="29" spans="1:6" x14ac:dyDescent="0.25">
      <c r="A29"/>
      <c r="F29"/>
    </row>
    <row r="30" spans="1:6" x14ac:dyDescent="0.25">
      <c r="A30"/>
      <c r="F30"/>
    </row>
    <row r="31" spans="1:6" x14ac:dyDescent="0.25">
      <c r="F31"/>
    </row>
    <row r="32" spans="1:6" x14ac:dyDescent="0.25">
      <c r="F32"/>
    </row>
    <row r="33" spans="5:6" x14ac:dyDescent="0.25">
      <c r="F33"/>
    </row>
    <row r="34" spans="5:6" x14ac:dyDescent="0.25">
      <c r="F34"/>
    </row>
    <row r="35" spans="5:6" x14ac:dyDescent="0.25">
      <c r="F35"/>
    </row>
    <row r="36" spans="5:6" x14ac:dyDescent="0.25">
      <c r="F36"/>
    </row>
    <row r="37" spans="5:6" x14ac:dyDescent="0.25">
      <c r="F37"/>
    </row>
    <row r="38" spans="5:6" x14ac:dyDescent="0.25">
      <c r="F38"/>
    </row>
    <row r="39" spans="5:6" x14ac:dyDescent="0.25">
      <c r="F39"/>
    </row>
    <row r="40" spans="5:6" x14ac:dyDescent="0.25">
      <c r="F40"/>
    </row>
    <row r="41" spans="5:6" x14ac:dyDescent="0.25">
      <c r="F41"/>
    </row>
    <row r="42" spans="5:6" x14ac:dyDescent="0.25">
      <c r="F42"/>
    </row>
    <row r="43" spans="5:6" x14ac:dyDescent="0.25">
      <c r="F43"/>
    </row>
    <row r="44" spans="5:6" x14ac:dyDescent="0.25">
      <c r="F44"/>
    </row>
    <row r="45" spans="5:6" x14ac:dyDescent="0.25">
      <c r="F45"/>
    </row>
    <row r="46" spans="5:6" x14ac:dyDescent="0.25">
      <c r="E46"/>
      <c r="F46"/>
    </row>
    <row r="54" spans="5:5" x14ac:dyDescent="0.25">
      <c r="E54"/>
    </row>
    <row r="55" spans="5:5" x14ac:dyDescent="0.25">
      <c r="E55"/>
    </row>
    <row r="71" spans="5:5" x14ac:dyDescent="0.25">
      <c r="E71"/>
    </row>
    <row r="72" spans="5:5" x14ac:dyDescent="0.25">
      <c r="E72"/>
    </row>
    <row r="73" spans="5:5" x14ac:dyDescent="0.25">
      <c r="E73"/>
    </row>
    <row r="74" spans="5:5" x14ac:dyDescent="0.25">
      <c r="E74"/>
    </row>
    <row r="75" spans="5:5" x14ac:dyDescent="0.25">
      <c r="E75"/>
    </row>
    <row r="77" spans="5:5" x14ac:dyDescent="0.25">
      <c r="E77"/>
    </row>
    <row r="78" spans="5:5" x14ac:dyDescent="0.25">
      <c r="E78"/>
    </row>
    <row r="96" spans="5:5" x14ac:dyDescent="0.25">
      <c r="E96"/>
    </row>
    <row r="97" spans="5:5" x14ac:dyDescent="0.25">
      <c r="E97"/>
    </row>
    <row r="98" spans="5:5" x14ac:dyDescent="0.25">
      <c r="E98"/>
    </row>
    <row r="116" spans="5:9" x14ac:dyDescent="0.25">
      <c r="I116" s="6"/>
    </row>
    <row r="117" spans="5:9" x14ac:dyDescent="0.25">
      <c r="I117" s="6"/>
    </row>
    <row r="118" spans="5:9" x14ac:dyDescent="0.25">
      <c r="I118" s="6"/>
    </row>
    <row r="119" spans="5:9" x14ac:dyDescent="0.25">
      <c r="I119" s="6"/>
    </row>
    <row r="120" spans="5:9" x14ac:dyDescent="0.25">
      <c r="I120" s="6"/>
    </row>
    <row r="121" spans="5:9" x14ac:dyDescent="0.25">
      <c r="E121"/>
      <c r="I121" s="6"/>
    </row>
    <row r="122" spans="5:9" x14ac:dyDescent="0.25">
      <c r="I122" s="6"/>
    </row>
    <row r="123" spans="5:9" x14ac:dyDescent="0.25">
      <c r="I123" s="6"/>
    </row>
    <row r="138" spans="9:9" x14ac:dyDescent="0.25">
      <c r="I138" s="6"/>
    </row>
    <row r="139" spans="9:9" x14ac:dyDescent="0.25">
      <c r="I139" s="6"/>
    </row>
    <row r="140" spans="9:9" x14ac:dyDescent="0.25">
      <c r="I140" s="6"/>
    </row>
  </sheetData>
  <conditionalFormatting sqref="C1:C2 C8:C1048576">
    <cfRule type="colorScale" priority="10">
      <colorScale>
        <cfvo type="num" val="50"/>
        <cfvo type="num" val="100"/>
        <cfvo type="num" val="200"/>
        <color theme="5" tint="-0.249977111117893"/>
        <color theme="0"/>
        <color theme="4" tint="-0.249977111117893"/>
      </colorScale>
    </cfRule>
  </conditionalFormatting>
  <conditionalFormatting sqref="C3">
    <cfRule type="colorScale" priority="5">
      <colorScale>
        <cfvo type="num" val="50"/>
        <cfvo type="num" val="100"/>
        <cfvo type="num" val="200"/>
        <color theme="5" tint="-0.249977111117893"/>
        <color theme="0"/>
        <color theme="4" tint="-0.249977111117893"/>
      </colorScale>
    </cfRule>
  </conditionalFormatting>
  <conditionalFormatting sqref="C4:C7">
    <cfRule type="colorScale" priority="2">
      <colorScale>
        <cfvo type="num" val="50"/>
        <cfvo type="num" val="100"/>
        <cfvo type="num" val="200"/>
        <color theme="5" tint="-0.249977111117893"/>
        <color theme="0"/>
        <color theme="4" tint="-0.249977111117893"/>
      </colorScale>
    </cfRule>
  </conditionalFormatting>
  <conditionalFormatting sqref="D3:D123 H3:H123">
    <cfRule type="expression" dxfId="7" priority="1">
      <formula>FIND("Yes", D3)</formula>
    </cfRule>
    <cfRule type="expression" dxfId="6" priority="3">
      <formula>FIND("No", D3)</formula>
    </cfRule>
  </conditionalFormatting>
  <conditionalFormatting sqref="H138:H139 D138:D140">
    <cfRule type="expression" dxfId="5" priority="7">
      <formula>FIND("Yes", D138)</formula>
    </cfRule>
    <cfRule type="expression" dxfId="4" priority="8">
      <formula>FIND("No", D138)</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01649-E990-4706-B284-68C653C6929D}">
  <sheetPr codeName="Sheet13"/>
  <dimension ref="A2:J128"/>
  <sheetViews>
    <sheetView topLeftCell="A32" zoomScale="90" zoomScaleNormal="90" workbookViewId="0">
      <selection activeCell="E6" sqref="E6"/>
    </sheetView>
  </sheetViews>
  <sheetFormatPr defaultColWidth="20.7109375" defaultRowHeight="15" x14ac:dyDescent="0.25"/>
  <cols>
    <col min="1" max="1" width="24.42578125" style="1" customWidth="1"/>
    <col min="2" max="3" width="20.7109375" style="1"/>
    <col min="4" max="4" width="16.7109375" style="1" customWidth="1"/>
    <col min="5" max="5" width="148" style="1" customWidth="1"/>
    <col min="6" max="6" width="20.7109375" style="1"/>
    <col min="7" max="7" width="20.7109375" style="5"/>
    <col min="8" max="16384" width="20.7109375" style="1"/>
  </cols>
  <sheetData>
    <row r="2" spans="1:10" s="4" customFormat="1" x14ac:dyDescent="0.25">
      <c r="A2" s="3" t="s">
        <v>1</v>
      </c>
      <c r="B2" s="3" t="s">
        <v>90</v>
      </c>
      <c r="C2" s="3" t="s">
        <v>91</v>
      </c>
      <c r="D2" s="3" t="s">
        <v>476</v>
      </c>
      <c r="E2" s="3" t="s">
        <v>0</v>
      </c>
      <c r="F2" s="3" t="s">
        <v>2</v>
      </c>
      <c r="G2" s="3" t="s">
        <v>3</v>
      </c>
      <c r="H2" s="3" t="s">
        <v>37</v>
      </c>
      <c r="I2" s="3" t="s">
        <v>236</v>
      </c>
      <c r="J2" s="3"/>
    </row>
    <row r="3" spans="1:10" x14ac:dyDescent="0.25">
      <c r="A3" t="s">
        <v>280</v>
      </c>
      <c r="B3" s="1">
        <f>AVERAGE(22.187,22.358)</f>
        <v>22.272500000000001</v>
      </c>
      <c r="C3" s="1">
        <f>B3/G3*1000000</f>
        <v>109.71674876847291</v>
      </c>
      <c r="D3" s="1" t="str">
        <f>IF(ISERROR(FIND("/",E3)), "No", "Yes")</f>
        <v>No</v>
      </c>
      <c r="E3" t="s">
        <v>279</v>
      </c>
      <c r="F3" t="s">
        <v>96</v>
      </c>
      <c r="G3" s="1">
        <v>203000</v>
      </c>
      <c r="H3" s="1" t="s">
        <v>38</v>
      </c>
    </row>
    <row r="4" spans="1:10" x14ac:dyDescent="0.25">
      <c r="A4" t="s">
        <v>294</v>
      </c>
      <c r="B4" s="1">
        <f>AVERAGE(15.491, 15.467)</f>
        <v>15.478999999999999</v>
      </c>
      <c r="C4" s="1">
        <f t="shared" ref="C4:C67" si="0">B4/G4*1000000</f>
        <v>87.600452744765121</v>
      </c>
      <c r="D4" s="1" t="str">
        <f t="shared" ref="D4:D67" si="1">IF(ISERROR(FIND("/",E4)), "No", "Yes")</f>
        <v>Yes</v>
      </c>
      <c r="E4" t="s">
        <v>284</v>
      </c>
      <c r="F4" t="s">
        <v>6</v>
      </c>
      <c r="G4" s="5">
        <v>176700</v>
      </c>
      <c r="H4" s="1" t="s">
        <v>38</v>
      </c>
      <c r="I4" s="7">
        <v>45831</v>
      </c>
    </row>
    <row r="5" spans="1:10" x14ac:dyDescent="0.25">
      <c r="A5" t="s">
        <v>295</v>
      </c>
      <c r="B5" s="1">
        <f>AVERAGE(18.467,18.453)</f>
        <v>18.46</v>
      </c>
      <c r="C5" s="1">
        <f t="shared" si="0"/>
        <v>99.084302169549034</v>
      </c>
      <c r="D5" s="1" t="str">
        <f t="shared" si="1"/>
        <v>Yes</v>
      </c>
      <c r="E5" t="s">
        <v>285</v>
      </c>
      <c r="F5" t="s">
        <v>6</v>
      </c>
      <c r="G5" s="5">
        <v>186306</v>
      </c>
      <c r="H5" s="1" t="s">
        <v>38</v>
      </c>
    </row>
    <row r="6" spans="1:10" x14ac:dyDescent="0.25">
      <c r="A6" t="s">
        <v>296</v>
      </c>
      <c r="B6" s="1">
        <f>AVERAGE(31.275,31.806)</f>
        <v>31.540500000000002</v>
      </c>
      <c r="C6" s="1">
        <f t="shared" si="0"/>
        <v>91.289435600578884</v>
      </c>
      <c r="D6" s="1" t="str">
        <f t="shared" si="1"/>
        <v>No</v>
      </c>
      <c r="E6" t="s">
        <v>286</v>
      </c>
      <c r="F6" t="s">
        <v>96</v>
      </c>
      <c r="G6" s="5">
        <v>345500</v>
      </c>
      <c r="H6" s="1" t="s">
        <v>38</v>
      </c>
    </row>
    <row r="7" spans="1:10" x14ac:dyDescent="0.25">
      <c r="A7" t="s">
        <v>297</v>
      </c>
      <c r="B7" s="1">
        <f>AVERAGE(27.701,27.798)</f>
        <v>27.749499999999998</v>
      </c>
      <c r="C7" s="1">
        <f t="shared" si="0"/>
        <v>95.260899416409188</v>
      </c>
      <c r="D7" s="1" t="str">
        <f t="shared" si="1"/>
        <v>No</v>
      </c>
      <c r="E7" t="s">
        <v>287</v>
      </c>
      <c r="F7" t="s">
        <v>96</v>
      </c>
      <c r="G7" s="5">
        <v>291300</v>
      </c>
      <c r="H7" s="1" t="s">
        <v>38</v>
      </c>
    </row>
    <row r="8" spans="1:10" x14ac:dyDescent="0.25">
      <c r="A8" t="s">
        <v>298</v>
      </c>
      <c r="B8" s="1">
        <f>AVERAGE(39.247,39.177)</f>
        <v>39.212000000000003</v>
      </c>
      <c r="C8" s="1">
        <f t="shared" si="0"/>
        <v>98.970217062089858</v>
      </c>
      <c r="D8" s="1" t="str">
        <f t="shared" si="1"/>
        <v>No</v>
      </c>
      <c r="E8" s="1" t="s">
        <v>288</v>
      </c>
      <c r="F8" t="s">
        <v>96</v>
      </c>
      <c r="G8" s="5">
        <v>396200</v>
      </c>
      <c r="H8" s="1" t="s">
        <v>38</v>
      </c>
    </row>
    <row r="9" spans="1:10" x14ac:dyDescent="0.25">
      <c r="A9" t="s">
        <v>299</v>
      </c>
      <c r="B9" s="1">
        <f>AVERAGE(39.662,39.281)</f>
        <v>39.471499999999999</v>
      </c>
      <c r="C9" s="1">
        <f t="shared" si="0"/>
        <v>95.295750845002416</v>
      </c>
      <c r="D9" s="1" t="str">
        <f t="shared" si="1"/>
        <v>No</v>
      </c>
      <c r="E9" s="1" t="s">
        <v>289</v>
      </c>
      <c r="F9" t="s">
        <v>96</v>
      </c>
      <c r="G9" s="5">
        <v>414200</v>
      </c>
      <c r="H9" s="1" t="s">
        <v>38</v>
      </c>
    </row>
    <row r="10" spans="1:10" x14ac:dyDescent="0.25">
      <c r="A10" t="s">
        <v>300</v>
      </c>
      <c r="B10" s="1">
        <f>AVERAGE(38.532,37.138)</f>
        <v>37.834999999999994</v>
      </c>
      <c r="C10" s="1">
        <f t="shared" si="0"/>
        <v>97.012820512820497</v>
      </c>
      <c r="D10" s="1" t="str">
        <f t="shared" si="1"/>
        <v>No</v>
      </c>
      <c r="E10" s="1" t="s">
        <v>290</v>
      </c>
      <c r="F10" t="s">
        <v>96</v>
      </c>
      <c r="G10" s="5">
        <v>390000</v>
      </c>
      <c r="H10" s="1" t="s">
        <v>38</v>
      </c>
    </row>
    <row r="11" spans="1:10" x14ac:dyDescent="0.25">
      <c r="A11" t="s">
        <v>301</v>
      </c>
      <c r="B11" s="1">
        <f>AVERAGE(38.945,38.436)</f>
        <v>38.6905</v>
      </c>
      <c r="C11" s="1">
        <f t="shared" si="0"/>
        <v>96.41290804884126</v>
      </c>
      <c r="D11" s="1" t="str">
        <f t="shared" si="1"/>
        <v>No</v>
      </c>
      <c r="E11" s="1" t="s">
        <v>291</v>
      </c>
      <c r="F11" t="s">
        <v>96</v>
      </c>
      <c r="G11" s="5">
        <v>401300</v>
      </c>
      <c r="H11" s="1" t="s">
        <v>38</v>
      </c>
    </row>
    <row r="12" spans="1:10" x14ac:dyDescent="0.25">
      <c r="A12" t="s">
        <v>302</v>
      </c>
      <c r="B12" s="1">
        <f>AVERAGE(40.025,38.653)</f>
        <v>39.338999999999999</v>
      </c>
      <c r="C12" s="1">
        <f t="shared" si="0"/>
        <v>95.738622535896809</v>
      </c>
      <c r="D12" s="1" t="str">
        <f t="shared" si="1"/>
        <v>No</v>
      </c>
      <c r="E12" s="1" t="s">
        <v>292</v>
      </c>
      <c r="F12" t="s">
        <v>96</v>
      </c>
      <c r="G12" s="5">
        <v>410900</v>
      </c>
      <c r="H12" s="1" t="s">
        <v>38</v>
      </c>
    </row>
    <row r="13" spans="1:10" x14ac:dyDescent="0.25">
      <c r="A13" t="s">
        <v>303</v>
      </c>
      <c r="B13" s="1">
        <f>AVERAGE(38.831,39.564)</f>
        <v>39.197500000000005</v>
      </c>
      <c r="C13" s="1">
        <f t="shared" si="0"/>
        <v>97.071570084200104</v>
      </c>
      <c r="D13" s="1" t="str">
        <f t="shared" si="1"/>
        <v>No</v>
      </c>
      <c r="E13" s="1" t="s">
        <v>293</v>
      </c>
      <c r="F13" t="s">
        <v>96</v>
      </c>
      <c r="G13" s="5">
        <v>403800</v>
      </c>
      <c r="H13" s="1" t="s">
        <v>38</v>
      </c>
      <c r="I13" s="7"/>
    </row>
    <row r="14" spans="1:10" x14ac:dyDescent="0.25">
      <c r="A14" t="s">
        <v>318</v>
      </c>
      <c r="B14" s="1">
        <f>AVERAGE(46.137,47.546,45.506,46.066)</f>
        <v>46.313749999999999</v>
      </c>
      <c r="C14" s="1">
        <f t="shared" si="0"/>
        <v>98.686874067760499</v>
      </c>
      <c r="D14" s="1" t="str">
        <f t="shared" si="1"/>
        <v>No</v>
      </c>
      <c r="E14" t="s">
        <v>345</v>
      </c>
      <c r="F14" t="s">
        <v>96</v>
      </c>
      <c r="G14" s="5">
        <v>469300</v>
      </c>
      <c r="H14" s="1" t="s">
        <v>38</v>
      </c>
      <c r="I14" s="7">
        <v>45364</v>
      </c>
    </row>
    <row r="15" spans="1:10" x14ac:dyDescent="0.25">
      <c r="A15" t="s">
        <v>319</v>
      </c>
      <c r="B15" s="1">
        <f>AVERAGE(45.479,46.482,45.819)</f>
        <v>45.926666666666669</v>
      </c>
      <c r="C15" s="1">
        <f t="shared" si="0"/>
        <v>92.987784301815495</v>
      </c>
      <c r="D15" s="1" t="str">
        <f t="shared" si="1"/>
        <v>No</v>
      </c>
      <c r="E15" t="s">
        <v>346</v>
      </c>
      <c r="F15" t="s">
        <v>96</v>
      </c>
      <c r="G15" s="5">
        <v>493900</v>
      </c>
      <c r="H15" s="1" t="s">
        <v>38</v>
      </c>
      <c r="I15" s="7">
        <v>45364</v>
      </c>
    </row>
    <row r="16" spans="1:10" x14ac:dyDescent="0.25">
      <c r="A16" t="s">
        <v>320</v>
      </c>
      <c r="B16" s="1">
        <f>AVERAGE(52.644,49.945,50.576)</f>
        <v>51.055</v>
      </c>
      <c r="C16" s="1">
        <f t="shared" si="0"/>
        <v>98.714230471771074</v>
      </c>
      <c r="D16" s="1" t="str">
        <f t="shared" si="1"/>
        <v>No</v>
      </c>
      <c r="E16" t="s">
        <v>347</v>
      </c>
      <c r="F16" t="s">
        <v>96</v>
      </c>
      <c r="G16" s="5">
        <v>517200</v>
      </c>
      <c r="H16" s="1" t="s">
        <v>38</v>
      </c>
      <c r="I16" s="7">
        <v>45364</v>
      </c>
    </row>
    <row r="17" spans="1:9" x14ac:dyDescent="0.25">
      <c r="A17" t="s">
        <v>321</v>
      </c>
      <c r="B17" s="1">
        <f>AVERAGE(51.036,51.536,50.987)</f>
        <v>51.18633333333333</v>
      </c>
      <c r="C17" s="1">
        <f t="shared" si="0"/>
        <v>95.265835349587434</v>
      </c>
      <c r="D17" s="1" t="str">
        <f t="shared" si="1"/>
        <v>No</v>
      </c>
      <c r="E17" t="s">
        <v>348</v>
      </c>
      <c r="F17" t="s">
        <v>96</v>
      </c>
      <c r="G17" s="5">
        <v>537300</v>
      </c>
      <c r="H17" s="1" t="s">
        <v>38</v>
      </c>
      <c r="I17" s="7">
        <v>45364</v>
      </c>
    </row>
    <row r="18" spans="1:9" x14ac:dyDescent="0.25">
      <c r="A18" t="s">
        <v>322</v>
      </c>
      <c r="B18" s="1">
        <f>AVERAGE(54.771,55.04)</f>
        <v>54.905500000000004</v>
      </c>
      <c r="C18" s="1">
        <f t="shared" si="0"/>
        <v>97.940599357830905</v>
      </c>
      <c r="D18" s="1" t="str">
        <f t="shared" si="1"/>
        <v>No</v>
      </c>
      <c r="E18" t="s">
        <v>349</v>
      </c>
      <c r="F18" t="s">
        <v>96</v>
      </c>
      <c r="G18" s="5">
        <v>560600</v>
      </c>
      <c r="H18" s="1" t="s">
        <v>38</v>
      </c>
      <c r="I18" s="7">
        <v>45364</v>
      </c>
    </row>
    <row r="19" spans="1:9" x14ac:dyDescent="0.25">
      <c r="A19" t="s">
        <v>323</v>
      </c>
      <c r="B19" s="1">
        <f>AVERAGE(41.337,41.285)</f>
        <v>41.311</v>
      </c>
      <c r="C19" s="1">
        <f t="shared" si="0"/>
        <v>107.8053235908142</v>
      </c>
      <c r="D19" s="1" t="str">
        <f t="shared" si="1"/>
        <v>No</v>
      </c>
      <c r="E19" t="s">
        <v>350</v>
      </c>
      <c r="F19" t="s">
        <v>96</v>
      </c>
      <c r="G19" s="5">
        <v>383200</v>
      </c>
      <c r="H19" s="1" t="s">
        <v>38</v>
      </c>
      <c r="I19" s="7">
        <v>45364</v>
      </c>
    </row>
    <row r="20" spans="1:9" x14ac:dyDescent="0.25">
      <c r="A20" t="s">
        <v>324</v>
      </c>
      <c r="B20" s="1">
        <f>AVERAGE(35.851,36.413)</f>
        <v>36.131999999999998</v>
      </c>
      <c r="C20" s="1">
        <f t="shared" si="0"/>
        <v>98.721311475409834</v>
      </c>
      <c r="D20" s="1" t="str">
        <f t="shared" si="1"/>
        <v>No</v>
      </c>
      <c r="E20" t="s">
        <v>351</v>
      </c>
      <c r="F20" t="s">
        <v>96</v>
      </c>
      <c r="G20" s="5">
        <v>366000</v>
      </c>
      <c r="H20" s="1" t="s">
        <v>38</v>
      </c>
      <c r="I20" s="7">
        <v>45364</v>
      </c>
    </row>
    <row r="21" spans="1:9" x14ac:dyDescent="0.25">
      <c r="A21" t="s">
        <v>325</v>
      </c>
      <c r="B21" s="1">
        <f>AVERAGE(42.61,42.749)</f>
        <v>42.679500000000004</v>
      </c>
      <c r="C21" s="1">
        <f t="shared" si="0"/>
        <v>115.28768233387359</v>
      </c>
      <c r="D21" s="1" t="str">
        <f t="shared" si="1"/>
        <v>No</v>
      </c>
      <c r="E21" t="s">
        <v>352</v>
      </c>
      <c r="F21" t="s">
        <v>96</v>
      </c>
      <c r="G21" s="5">
        <v>370200</v>
      </c>
      <c r="H21" s="1" t="s">
        <v>38</v>
      </c>
      <c r="I21" s="7">
        <v>45364</v>
      </c>
    </row>
    <row r="22" spans="1:9" x14ac:dyDescent="0.25">
      <c r="A22" t="s">
        <v>326</v>
      </c>
      <c r="B22" s="1">
        <f>AVERAGE(43.378,45.844,42.342,43.18)</f>
        <v>43.686000000000007</v>
      </c>
      <c r="C22" s="1">
        <f t="shared" si="0"/>
        <v>102.16557530402245</v>
      </c>
      <c r="D22" s="1" t="str">
        <f t="shared" si="1"/>
        <v>No</v>
      </c>
      <c r="E22" t="s">
        <v>353</v>
      </c>
      <c r="F22" t="s">
        <v>96</v>
      </c>
      <c r="G22" s="5">
        <v>427600</v>
      </c>
      <c r="H22" s="1" t="s">
        <v>38</v>
      </c>
      <c r="I22" s="7">
        <v>45364</v>
      </c>
    </row>
    <row r="23" spans="1:9" x14ac:dyDescent="0.25">
      <c r="A23" t="s">
        <v>327</v>
      </c>
      <c r="B23" s="1">
        <f>AVERAGE(41.47,43.353,41.336)</f>
        <v>42.053000000000004</v>
      </c>
      <c r="C23" s="1">
        <f t="shared" si="0"/>
        <v>100.03092293054235</v>
      </c>
      <c r="D23" s="1" t="str">
        <f t="shared" si="1"/>
        <v>No</v>
      </c>
      <c r="E23" t="s">
        <v>354</v>
      </c>
      <c r="F23" t="s">
        <v>96</v>
      </c>
      <c r="G23" s="5">
        <v>420400</v>
      </c>
      <c r="H23" s="1" t="s">
        <v>38</v>
      </c>
      <c r="I23" s="7">
        <v>45364</v>
      </c>
    </row>
    <row r="24" spans="1:9" x14ac:dyDescent="0.25">
      <c r="A24" t="s">
        <v>328</v>
      </c>
      <c r="B24" s="1">
        <f>AVERAGE(42.236,42.033)</f>
        <v>42.134500000000003</v>
      </c>
      <c r="C24" s="1">
        <f t="shared" si="0"/>
        <v>97.578740157480311</v>
      </c>
      <c r="D24" s="1" t="str">
        <f t="shared" si="1"/>
        <v>No</v>
      </c>
      <c r="E24" t="s">
        <v>355</v>
      </c>
      <c r="F24" t="s">
        <v>96</v>
      </c>
      <c r="G24" s="5">
        <v>431800</v>
      </c>
      <c r="H24" s="1" t="s">
        <v>38</v>
      </c>
      <c r="I24" s="7">
        <v>45364</v>
      </c>
    </row>
    <row r="25" spans="1:9" x14ac:dyDescent="0.25">
      <c r="A25" t="s">
        <v>329</v>
      </c>
      <c r="B25" s="1">
        <f>AVERAGE(42.266,41.435)</f>
        <v>41.850499999999997</v>
      </c>
      <c r="C25" s="1">
        <f t="shared" si="0"/>
        <v>98.77389662497049</v>
      </c>
      <c r="D25" s="1" t="str">
        <f t="shared" si="1"/>
        <v>No</v>
      </c>
      <c r="E25" t="s">
        <v>356</v>
      </c>
      <c r="F25" t="s">
        <v>96</v>
      </c>
      <c r="G25" s="5">
        <v>423700</v>
      </c>
      <c r="H25" s="1" t="s">
        <v>38</v>
      </c>
      <c r="I25" s="7">
        <v>45364</v>
      </c>
    </row>
    <row r="26" spans="1:9" x14ac:dyDescent="0.25">
      <c r="A26" t="s">
        <v>330</v>
      </c>
      <c r="B26" s="1">
        <f>AVERAGE(43.09,41.863,41.58,41.08,41.852)</f>
        <v>41.893000000000001</v>
      </c>
      <c r="C26" s="1">
        <f t="shared" si="0"/>
        <v>98.294228061942746</v>
      </c>
      <c r="D26" s="1" t="str">
        <f t="shared" si="1"/>
        <v>No</v>
      </c>
      <c r="E26" t="s">
        <v>357</v>
      </c>
      <c r="F26" t="s">
        <v>96</v>
      </c>
      <c r="G26" s="5">
        <v>426200</v>
      </c>
      <c r="H26" s="1" t="s">
        <v>38</v>
      </c>
      <c r="I26" s="7">
        <v>45364</v>
      </c>
    </row>
    <row r="27" spans="1:9" x14ac:dyDescent="0.25">
      <c r="A27" t="s">
        <v>331</v>
      </c>
      <c r="B27" s="1">
        <f>AVERAGE(35.357,35.603)</f>
        <v>35.480000000000004</v>
      </c>
      <c r="C27" s="1">
        <f t="shared" si="0"/>
        <v>97.099069512862627</v>
      </c>
      <c r="D27" s="1" t="str">
        <f t="shared" si="1"/>
        <v>No</v>
      </c>
      <c r="E27" t="s">
        <v>358</v>
      </c>
      <c r="F27" t="s">
        <v>96</v>
      </c>
      <c r="G27" s="5">
        <v>365400</v>
      </c>
      <c r="H27" s="1" t="s">
        <v>38</v>
      </c>
      <c r="I27" s="7">
        <v>45364</v>
      </c>
    </row>
    <row r="28" spans="1:9" x14ac:dyDescent="0.25">
      <c r="A28" t="s">
        <v>332</v>
      </c>
      <c r="B28" s="1">
        <f>AVERAGE(37.664,37.555)</f>
        <v>37.609499999999997</v>
      </c>
      <c r="C28" s="1">
        <f t="shared" si="0"/>
        <v>99.654213036565977</v>
      </c>
      <c r="D28" s="1" t="str">
        <f t="shared" si="1"/>
        <v>No</v>
      </c>
      <c r="E28" t="s">
        <v>359</v>
      </c>
      <c r="F28" t="s">
        <v>96</v>
      </c>
      <c r="G28" s="5">
        <v>377400</v>
      </c>
      <c r="H28" s="1" t="s">
        <v>38</v>
      </c>
      <c r="I28" s="7">
        <v>45364</v>
      </c>
    </row>
    <row r="29" spans="1:9" x14ac:dyDescent="0.25">
      <c r="A29" t="s">
        <v>333</v>
      </c>
      <c r="B29" s="1">
        <f>AVERAGE(39.437,40.869)</f>
        <v>40.152999999999999</v>
      </c>
      <c r="C29" s="1">
        <f t="shared" si="0"/>
        <v>103.11504879301489</v>
      </c>
      <c r="D29" s="1" t="str">
        <f t="shared" si="1"/>
        <v>No</v>
      </c>
      <c r="E29" t="s">
        <v>360</v>
      </c>
      <c r="F29" t="s">
        <v>96</v>
      </c>
      <c r="G29" s="5">
        <v>389400</v>
      </c>
      <c r="H29" s="1" t="s">
        <v>38</v>
      </c>
      <c r="I29" s="7">
        <v>45364</v>
      </c>
    </row>
    <row r="30" spans="1:9" x14ac:dyDescent="0.25">
      <c r="A30" t="s">
        <v>334</v>
      </c>
      <c r="B30" s="1">
        <f>AVERAGE(37.285,37.422)</f>
        <v>37.353499999999997</v>
      </c>
      <c r="C30" s="1">
        <f t="shared" si="0"/>
        <v>93.058046836073729</v>
      </c>
      <c r="D30" s="1" t="str">
        <f t="shared" si="1"/>
        <v>No</v>
      </c>
      <c r="E30" t="s">
        <v>361</v>
      </c>
      <c r="F30" t="s">
        <v>96</v>
      </c>
      <c r="G30" s="5">
        <v>401400</v>
      </c>
      <c r="H30" s="1" t="s">
        <v>38</v>
      </c>
      <c r="I30" s="7">
        <v>45364</v>
      </c>
    </row>
    <row r="31" spans="1:9" x14ac:dyDescent="0.25">
      <c r="A31" t="s">
        <v>335</v>
      </c>
      <c r="B31" s="1">
        <f>AVERAGE(37.761,36.876)</f>
        <v>37.3185</v>
      </c>
      <c r="C31" s="1">
        <f t="shared" si="0"/>
        <v>92.647715988083419</v>
      </c>
      <c r="D31" s="1" t="str">
        <f t="shared" si="1"/>
        <v>No</v>
      </c>
      <c r="E31" t="s">
        <v>362</v>
      </c>
      <c r="F31" t="s">
        <v>96</v>
      </c>
      <c r="G31" s="5">
        <v>402800</v>
      </c>
      <c r="H31" s="1" t="s">
        <v>38</v>
      </c>
      <c r="I31" s="7">
        <v>45364</v>
      </c>
    </row>
    <row r="32" spans="1:9" x14ac:dyDescent="0.25">
      <c r="A32" t="s">
        <v>336</v>
      </c>
      <c r="B32" s="1">
        <f>AVERAGE(37.544,36.808)</f>
        <v>37.176000000000002</v>
      </c>
      <c r="C32" s="1">
        <f t="shared" si="0"/>
        <v>92.293942403177752</v>
      </c>
      <c r="D32" s="1" t="str">
        <f t="shared" si="1"/>
        <v>No</v>
      </c>
      <c r="E32" t="s">
        <v>363</v>
      </c>
      <c r="F32" t="s">
        <v>96</v>
      </c>
      <c r="G32" s="5">
        <v>402800</v>
      </c>
      <c r="H32" s="1" t="s">
        <v>38</v>
      </c>
      <c r="I32" s="7">
        <v>45364</v>
      </c>
    </row>
    <row r="33" spans="1:9" x14ac:dyDescent="0.25">
      <c r="A33" t="s">
        <v>337</v>
      </c>
      <c r="B33" s="1">
        <f>AVERAGE(34.226,33.962)</f>
        <v>34.094000000000001</v>
      </c>
      <c r="C33" s="1">
        <f t="shared" si="0"/>
        <v>84.642502482621651</v>
      </c>
      <c r="D33" s="1" t="str">
        <f t="shared" si="1"/>
        <v>No</v>
      </c>
      <c r="E33" t="s">
        <v>364</v>
      </c>
      <c r="F33" t="s">
        <v>96</v>
      </c>
      <c r="G33" s="5">
        <v>402800</v>
      </c>
      <c r="H33" s="1" t="s">
        <v>38</v>
      </c>
      <c r="I33" s="7">
        <v>45364</v>
      </c>
    </row>
    <row r="34" spans="1:9" x14ac:dyDescent="0.25">
      <c r="A34" t="s">
        <v>338</v>
      </c>
      <c r="B34" s="1">
        <f>AVERAGE(38.961,38.607)</f>
        <v>38.783999999999999</v>
      </c>
      <c r="C34" s="1">
        <f t="shared" si="0"/>
        <v>96.718204488778042</v>
      </c>
      <c r="D34" s="1" t="str">
        <f t="shared" si="1"/>
        <v>No</v>
      </c>
      <c r="E34" t="s">
        <v>365</v>
      </c>
      <c r="F34" t="s">
        <v>96</v>
      </c>
      <c r="G34" s="5">
        <v>401000</v>
      </c>
      <c r="H34" s="1" t="s">
        <v>38</v>
      </c>
      <c r="I34" s="7">
        <v>45364</v>
      </c>
    </row>
    <row r="35" spans="1:9" x14ac:dyDescent="0.25">
      <c r="A35" t="s">
        <v>339</v>
      </c>
      <c r="B35" s="1">
        <f>AVERAGE(40.614,41.234)</f>
        <v>40.923999999999999</v>
      </c>
      <c r="C35" s="1">
        <f t="shared" si="0"/>
        <v>100.50098231827113</v>
      </c>
      <c r="D35" s="1" t="str">
        <f t="shared" si="1"/>
        <v>No</v>
      </c>
      <c r="E35" t="s">
        <v>366</v>
      </c>
      <c r="F35" t="s">
        <v>96</v>
      </c>
      <c r="G35" s="5">
        <v>407200</v>
      </c>
      <c r="H35" s="1" t="s">
        <v>38</v>
      </c>
      <c r="I35" s="7">
        <v>45364</v>
      </c>
    </row>
    <row r="36" spans="1:9" x14ac:dyDescent="0.25">
      <c r="A36" t="s">
        <v>340</v>
      </c>
      <c r="B36" s="1">
        <f>AVERAGE(40.208,40.426)</f>
        <v>40.317</v>
      </c>
      <c r="C36" s="1">
        <f t="shared" si="0"/>
        <v>99.992559523809533</v>
      </c>
      <c r="D36" s="1" t="str">
        <f t="shared" si="1"/>
        <v>No</v>
      </c>
      <c r="E36" t="s">
        <v>367</v>
      </c>
      <c r="F36" t="s">
        <v>96</v>
      </c>
      <c r="G36" s="5">
        <v>403200</v>
      </c>
      <c r="H36" s="1" t="s">
        <v>38</v>
      </c>
      <c r="I36" s="7">
        <v>45364</v>
      </c>
    </row>
    <row r="37" spans="1:9" x14ac:dyDescent="0.25">
      <c r="A37" t="s">
        <v>341</v>
      </c>
      <c r="B37" s="1">
        <f>AVERAGE(40.597,40.415)</f>
        <v>40.506</v>
      </c>
      <c r="C37" s="1">
        <f t="shared" si="0"/>
        <v>96.351094196003814</v>
      </c>
      <c r="D37" s="1" t="str">
        <f t="shared" si="1"/>
        <v>No</v>
      </c>
      <c r="E37" t="s">
        <v>368</v>
      </c>
      <c r="F37" t="s">
        <v>96</v>
      </c>
      <c r="G37" s="5">
        <v>420400</v>
      </c>
      <c r="H37" s="1" t="s">
        <v>38</v>
      </c>
      <c r="I37" s="7">
        <v>45364</v>
      </c>
    </row>
    <row r="38" spans="1:9" x14ac:dyDescent="0.25">
      <c r="A38" t="s">
        <v>342</v>
      </c>
      <c r="B38" s="1">
        <f>AVERAGE(35.437,35.919,35.607)</f>
        <v>35.654333333333334</v>
      </c>
      <c r="C38" s="1">
        <f t="shared" si="0"/>
        <v>81.832300512585107</v>
      </c>
      <c r="D38" s="1" t="str">
        <f t="shared" si="1"/>
        <v>No</v>
      </c>
      <c r="E38" t="s">
        <v>369</v>
      </c>
      <c r="F38" t="s">
        <v>96</v>
      </c>
      <c r="G38" s="5">
        <v>435700</v>
      </c>
      <c r="H38" s="1" t="s">
        <v>38</v>
      </c>
      <c r="I38" s="7">
        <v>45364</v>
      </c>
    </row>
    <row r="39" spans="1:9" x14ac:dyDescent="0.25">
      <c r="A39" t="s">
        <v>343</v>
      </c>
      <c r="B39" s="1">
        <f>AVERAGE(46.776,47.08)</f>
        <v>46.927999999999997</v>
      </c>
      <c r="C39" s="1">
        <f t="shared" si="0"/>
        <v>102.95743747257569</v>
      </c>
      <c r="D39" s="1" t="str">
        <f t="shared" si="1"/>
        <v>No</v>
      </c>
      <c r="E39" t="s">
        <v>370</v>
      </c>
      <c r="F39" t="s">
        <v>96</v>
      </c>
      <c r="G39" s="5">
        <v>455800</v>
      </c>
      <c r="H39" s="1" t="s">
        <v>38</v>
      </c>
      <c r="I39" s="7">
        <v>45364</v>
      </c>
    </row>
    <row r="40" spans="1:9" x14ac:dyDescent="0.25">
      <c r="A40" t="s">
        <v>344</v>
      </c>
      <c r="B40" s="1">
        <f>AVERAGE(45.461,46.132)</f>
        <v>45.796499999999995</v>
      </c>
      <c r="C40" s="1">
        <f t="shared" si="0"/>
        <v>96.92380952380951</v>
      </c>
      <c r="D40" s="1" t="str">
        <f t="shared" si="1"/>
        <v>No</v>
      </c>
      <c r="E40" t="s">
        <v>371</v>
      </c>
      <c r="F40" t="s">
        <v>96</v>
      </c>
      <c r="G40" s="5">
        <v>472500</v>
      </c>
      <c r="H40" s="1" t="s">
        <v>38</v>
      </c>
      <c r="I40" s="7">
        <v>45364</v>
      </c>
    </row>
    <row r="41" spans="1:9" x14ac:dyDescent="0.25">
      <c r="A41" t="s">
        <v>372</v>
      </c>
      <c r="B41" s="1">
        <f>AVERAGE(39.868,39.458)</f>
        <v>39.662999999999997</v>
      </c>
      <c r="C41" s="1">
        <f t="shared" si="0"/>
        <v>90.513464171611133</v>
      </c>
      <c r="D41" s="1" t="str">
        <f t="shared" si="1"/>
        <v>No</v>
      </c>
      <c r="E41" t="s">
        <v>373</v>
      </c>
      <c r="F41" t="s">
        <v>96</v>
      </c>
      <c r="G41" s="5">
        <v>438200</v>
      </c>
      <c r="H41" s="1" t="s">
        <v>38</v>
      </c>
      <c r="I41" s="7"/>
    </row>
    <row r="42" spans="1:9" x14ac:dyDescent="0.25">
      <c r="A42" t="s">
        <v>489</v>
      </c>
      <c r="B42" s="1">
        <f>AVERAGE(41.911,41.735)</f>
        <v>41.823</v>
      </c>
      <c r="C42" s="1">
        <f t="shared" si="0"/>
        <v>91.516411378555802</v>
      </c>
      <c r="D42" s="1" t="str">
        <f t="shared" si="1"/>
        <v>No</v>
      </c>
      <c r="E42" t="s">
        <v>516</v>
      </c>
      <c r="F42" t="s">
        <v>96</v>
      </c>
      <c r="G42" s="5">
        <v>457000</v>
      </c>
      <c r="H42" s="1" t="s">
        <v>38</v>
      </c>
      <c r="I42" s="7">
        <v>45446</v>
      </c>
    </row>
    <row r="43" spans="1:9" x14ac:dyDescent="0.25">
      <c r="A43" t="s">
        <v>490</v>
      </c>
      <c r="B43" s="1">
        <f>AVERAGE(47.436,48.262)</f>
        <v>47.849000000000004</v>
      </c>
      <c r="C43" s="1">
        <f t="shared" si="0"/>
        <v>95.621502797761792</v>
      </c>
      <c r="D43" s="1" t="str">
        <f t="shared" si="1"/>
        <v>No</v>
      </c>
      <c r="E43" s="1" t="s">
        <v>517</v>
      </c>
      <c r="F43" t="s">
        <v>96</v>
      </c>
      <c r="G43" s="5">
        <v>500400</v>
      </c>
      <c r="H43" s="1" t="s">
        <v>38</v>
      </c>
      <c r="I43" s="7">
        <v>45446</v>
      </c>
    </row>
    <row r="44" spans="1:9" x14ac:dyDescent="0.25">
      <c r="A44" t="s">
        <v>491</v>
      </c>
      <c r="B44" s="1">
        <f>AVERAGE(55.063,55.292)</f>
        <v>55.177500000000002</v>
      </c>
      <c r="C44" s="1">
        <f t="shared" si="0"/>
        <v>94.498201746874471</v>
      </c>
      <c r="D44" s="1" t="str">
        <f t="shared" si="1"/>
        <v>No</v>
      </c>
      <c r="E44" s="1" t="s">
        <v>518</v>
      </c>
      <c r="F44" t="s">
        <v>96</v>
      </c>
      <c r="G44" s="5">
        <v>583900</v>
      </c>
      <c r="H44" s="1" t="s">
        <v>38</v>
      </c>
      <c r="I44" s="7">
        <v>45446</v>
      </c>
    </row>
    <row r="45" spans="1:9" x14ac:dyDescent="0.25">
      <c r="A45" t="s">
        <v>492</v>
      </c>
      <c r="B45" s="1">
        <f>AVERAGE(48.362,48.491)</f>
        <v>48.426500000000004</v>
      </c>
      <c r="C45" s="1">
        <f t="shared" si="0"/>
        <v>99.275317753177546</v>
      </c>
      <c r="D45" s="1" t="str">
        <f t="shared" si="1"/>
        <v>No</v>
      </c>
      <c r="E45" s="1" t="s">
        <v>519</v>
      </c>
      <c r="F45" t="s">
        <v>96</v>
      </c>
      <c r="G45" s="5">
        <v>487800</v>
      </c>
      <c r="H45" s="1" t="s">
        <v>38</v>
      </c>
      <c r="I45" s="7">
        <v>45446</v>
      </c>
    </row>
    <row r="46" spans="1:9" x14ac:dyDescent="0.25">
      <c r="A46" t="s">
        <v>493</v>
      </c>
      <c r="B46" s="1">
        <f>AVERAGE(77.986,77.294)</f>
        <v>77.64</v>
      </c>
      <c r="C46" s="1">
        <f t="shared" si="0"/>
        <v>128.54304635761588</v>
      </c>
      <c r="D46" s="1" t="str">
        <f t="shared" si="1"/>
        <v>No</v>
      </c>
      <c r="E46" s="1" t="s">
        <v>520</v>
      </c>
      <c r="F46" t="s">
        <v>96</v>
      </c>
      <c r="G46" s="5">
        <v>604000</v>
      </c>
      <c r="H46" s="1" t="s">
        <v>38</v>
      </c>
      <c r="I46" s="7">
        <v>45446</v>
      </c>
    </row>
    <row r="47" spans="1:9" x14ac:dyDescent="0.25">
      <c r="A47" t="s">
        <v>494</v>
      </c>
      <c r="B47" s="1">
        <f>AVERAGE(48.436,50.156)</f>
        <v>49.295999999999999</v>
      </c>
      <c r="C47" s="1">
        <f t="shared" si="0"/>
        <v>96.79167484783035</v>
      </c>
      <c r="D47" s="1" t="str">
        <f t="shared" si="1"/>
        <v>No</v>
      </c>
      <c r="E47" s="1" t="s">
        <v>521</v>
      </c>
      <c r="F47" t="s">
        <v>96</v>
      </c>
      <c r="G47" s="5">
        <v>509300</v>
      </c>
      <c r="H47" s="1" t="s">
        <v>38</v>
      </c>
      <c r="I47" s="7">
        <v>45446</v>
      </c>
    </row>
    <row r="48" spans="1:9" x14ac:dyDescent="0.25">
      <c r="A48" t="s">
        <v>495</v>
      </c>
      <c r="B48" s="1">
        <f>AVERAGE(59.3,59.6)</f>
        <v>59.45</v>
      </c>
      <c r="C48" s="1">
        <f t="shared" si="0"/>
        <v>94.771241830065364</v>
      </c>
      <c r="D48" s="1" t="str">
        <f t="shared" si="1"/>
        <v>No</v>
      </c>
      <c r="E48" s="1" t="s">
        <v>522</v>
      </c>
      <c r="F48" t="s">
        <v>96</v>
      </c>
      <c r="G48" s="5">
        <v>627300</v>
      </c>
      <c r="H48" s="1" t="s">
        <v>38</v>
      </c>
      <c r="I48" s="7">
        <v>45446</v>
      </c>
    </row>
    <row r="49" spans="1:9" x14ac:dyDescent="0.25">
      <c r="A49" t="s">
        <v>496</v>
      </c>
      <c r="B49" s="1">
        <f>AVERAGE(48.119,48.977)</f>
        <v>48.548000000000002</v>
      </c>
      <c r="C49" s="1">
        <f t="shared" si="0"/>
        <v>92.542889820815859</v>
      </c>
      <c r="D49" s="1" t="str">
        <f t="shared" si="1"/>
        <v>No</v>
      </c>
      <c r="E49" s="1" t="s">
        <v>523</v>
      </c>
      <c r="F49" t="s">
        <v>96</v>
      </c>
      <c r="G49" s="5">
        <v>524600</v>
      </c>
      <c r="H49" s="1" t="s">
        <v>38</v>
      </c>
      <c r="I49" s="7">
        <v>45446</v>
      </c>
    </row>
    <row r="50" spans="1:9" x14ac:dyDescent="0.25">
      <c r="A50" t="s">
        <v>497</v>
      </c>
      <c r="B50" s="1">
        <f>AVERAGE(61.423,60.863)</f>
        <v>61.143000000000001</v>
      </c>
      <c r="C50" s="1">
        <f t="shared" si="0"/>
        <v>94.443929564411491</v>
      </c>
      <c r="D50" s="1" t="str">
        <f t="shared" si="1"/>
        <v>No</v>
      </c>
      <c r="E50" s="1" t="s">
        <v>524</v>
      </c>
      <c r="F50" t="s">
        <v>96</v>
      </c>
      <c r="G50" s="5">
        <v>647400</v>
      </c>
      <c r="H50" s="1" t="s">
        <v>38</v>
      </c>
      <c r="I50" s="7">
        <v>45446</v>
      </c>
    </row>
    <row r="51" spans="1:9" x14ac:dyDescent="0.25">
      <c r="A51" t="s">
        <v>498</v>
      </c>
      <c r="B51" s="1">
        <f>AVERAGE(52.414,52.207)</f>
        <v>52.310500000000005</v>
      </c>
      <c r="C51" s="1">
        <f t="shared" si="0"/>
        <v>95.789232741256185</v>
      </c>
      <c r="D51" s="1" t="str">
        <f t="shared" si="1"/>
        <v>No</v>
      </c>
      <c r="E51" s="1" t="s">
        <v>525</v>
      </c>
      <c r="F51" t="s">
        <v>96</v>
      </c>
      <c r="G51" s="5">
        <v>546100</v>
      </c>
      <c r="H51" s="1" t="s">
        <v>38</v>
      </c>
      <c r="I51" s="7">
        <v>45446</v>
      </c>
    </row>
    <row r="52" spans="1:9" x14ac:dyDescent="0.25">
      <c r="A52" t="s">
        <v>499</v>
      </c>
      <c r="B52" s="1">
        <f>AVERAGE(63.649,63.947)</f>
        <v>63.798000000000002</v>
      </c>
      <c r="C52" s="1">
        <f t="shared" si="0"/>
        <v>95.98014141718069</v>
      </c>
      <c r="D52" s="1" t="str">
        <f t="shared" si="1"/>
        <v>No</v>
      </c>
      <c r="E52" s="1" t="s">
        <v>526</v>
      </c>
      <c r="F52" t="s">
        <v>96</v>
      </c>
      <c r="G52" s="5">
        <v>664700</v>
      </c>
      <c r="H52" s="1" t="s">
        <v>38</v>
      </c>
      <c r="I52" s="7">
        <v>45446</v>
      </c>
    </row>
    <row r="53" spans="1:9" x14ac:dyDescent="0.25">
      <c r="A53" t="s">
        <v>500</v>
      </c>
      <c r="B53" s="1">
        <f>AVERAGE(57.201,56.542)</f>
        <v>56.871499999999997</v>
      </c>
      <c r="C53" s="1">
        <f t="shared" si="0"/>
        <v>100.94337948171813</v>
      </c>
      <c r="D53" s="1" t="str">
        <f t="shared" si="1"/>
        <v>No</v>
      </c>
      <c r="E53" s="1" t="s">
        <v>527</v>
      </c>
      <c r="F53" t="s">
        <v>96</v>
      </c>
      <c r="G53" s="5">
        <v>563400</v>
      </c>
      <c r="H53" s="1" t="s">
        <v>38</v>
      </c>
      <c r="I53" s="7">
        <v>45446</v>
      </c>
    </row>
    <row r="54" spans="1:9" x14ac:dyDescent="0.25">
      <c r="A54" t="s">
        <v>501</v>
      </c>
      <c r="B54" s="1">
        <f>AVERAGE(62.047,61.88)</f>
        <v>61.963499999999996</v>
      </c>
      <c r="C54" s="1">
        <f t="shared" si="0"/>
        <v>92.386312807514528</v>
      </c>
      <c r="D54" s="1" t="str">
        <f t="shared" si="1"/>
        <v>No</v>
      </c>
      <c r="E54" s="1" t="s">
        <v>528</v>
      </c>
      <c r="F54" t="s">
        <v>96</v>
      </c>
      <c r="G54" s="5">
        <v>670700</v>
      </c>
      <c r="H54" s="1" t="s">
        <v>38</v>
      </c>
      <c r="I54" s="7">
        <v>45446</v>
      </c>
    </row>
    <row r="55" spans="1:9" x14ac:dyDescent="0.25">
      <c r="A55" t="s">
        <v>502</v>
      </c>
      <c r="B55" s="1">
        <f>AVERAGE(56.088,57.57)</f>
        <v>56.829000000000001</v>
      </c>
      <c r="C55" s="1">
        <f t="shared" si="0"/>
        <v>101.22728892055576</v>
      </c>
      <c r="D55" s="1" t="str">
        <f t="shared" si="1"/>
        <v>No</v>
      </c>
      <c r="E55" s="1" t="s">
        <v>529</v>
      </c>
      <c r="F55" t="s">
        <v>96</v>
      </c>
      <c r="G55" s="5">
        <v>561400</v>
      </c>
      <c r="H55" s="1" t="s">
        <v>38</v>
      </c>
      <c r="I55" s="7">
        <v>45446</v>
      </c>
    </row>
    <row r="56" spans="1:9" x14ac:dyDescent="0.25">
      <c r="A56" t="s">
        <v>503</v>
      </c>
      <c r="B56" s="1">
        <f>AVERAGE(64.161,63.535)</f>
        <v>63.847999999999999</v>
      </c>
      <c r="C56" s="1">
        <f t="shared" si="0"/>
        <v>92.802325581395351</v>
      </c>
      <c r="D56" s="1" t="str">
        <f t="shared" si="1"/>
        <v>No</v>
      </c>
      <c r="E56" s="1" t="s">
        <v>530</v>
      </c>
      <c r="F56" t="s">
        <v>96</v>
      </c>
      <c r="G56" s="5">
        <v>688000</v>
      </c>
      <c r="H56" s="1" t="s">
        <v>38</v>
      </c>
      <c r="I56" s="7">
        <v>45446</v>
      </c>
    </row>
    <row r="57" spans="1:9" x14ac:dyDescent="0.25">
      <c r="A57" t="s">
        <v>504</v>
      </c>
      <c r="B57" s="1">
        <f>AVERAGE(56.259,56.689)</f>
        <v>56.474000000000004</v>
      </c>
      <c r="C57" s="1">
        <f t="shared" si="0"/>
        <v>97.587696561257999</v>
      </c>
      <c r="D57" s="1" t="str">
        <f t="shared" si="1"/>
        <v>No</v>
      </c>
      <c r="E57" s="1" t="s">
        <v>531</v>
      </c>
      <c r="F57" t="s">
        <v>96</v>
      </c>
      <c r="G57" s="5">
        <v>578700</v>
      </c>
      <c r="H57" s="1" t="s">
        <v>38</v>
      </c>
      <c r="I57" s="7">
        <v>45446</v>
      </c>
    </row>
    <row r="58" spans="1:9" x14ac:dyDescent="0.25">
      <c r="A58" t="s">
        <v>505</v>
      </c>
      <c r="B58" s="1">
        <f>AVERAGE(64.28,64.656)</f>
        <v>64.468000000000004</v>
      </c>
      <c r="C58" s="1">
        <f t="shared" si="0"/>
        <v>93.323682686740014</v>
      </c>
      <c r="D58" s="1" t="str">
        <f t="shared" si="1"/>
        <v>No</v>
      </c>
      <c r="E58" t="s">
        <v>532</v>
      </c>
      <c r="F58" t="s">
        <v>96</v>
      </c>
      <c r="G58" s="5">
        <v>690800</v>
      </c>
      <c r="H58" s="1" t="s">
        <v>38</v>
      </c>
      <c r="I58" s="7">
        <v>45446</v>
      </c>
    </row>
    <row r="59" spans="1:9" x14ac:dyDescent="0.25">
      <c r="A59" t="s">
        <v>506</v>
      </c>
      <c r="B59" s="1">
        <f>AVERAGE(60.936,59.63)</f>
        <v>60.283000000000001</v>
      </c>
      <c r="C59" s="1">
        <f t="shared" si="0"/>
        <v>103.41911133985246</v>
      </c>
      <c r="D59" s="1" t="str">
        <f t="shared" si="1"/>
        <v>No</v>
      </c>
      <c r="E59" t="s">
        <v>533</v>
      </c>
      <c r="F59" t="s">
        <v>96</v>
      </c>
      <c r="G59" s="5">
        <v>582900</v>
      </c>
      <c r="H59" s="1" t="s">
        <v>38</v>
      </c>
      <c r="I59" s="7">
        <v>45446</v>
      </c>
    </row>
    <row r="60" spans="1:9" x14ac:dyDescent="0.25">
      <c r="A60" t="s">
        <v>507</v>
      </c>
      <c r="B60" s="1">
        <f>AVERAGE(67.288,67.169)</f>
        <v>67.228499999999997</v>
      </c>
      <c r="C60" s="1">
        <f t="shared" si="0"/>
        <v>94.942098573647783</v>
      </c>
      <c r="D60" s="1" t="str">
        <f t="shared" si="1"/>
        <v>No</v>
      </c>
      <c r="E60" t="s">
        <v>534</v>
      </c>
      <c r="F60" t="s">
        <v>96</v>
      </c>
      <c r="G60" s="5">
        <v>708100</v>
      </c>
      <c r="H60" s="1" t="s">
        <v>38</v>
      </c>
      <c r="I60" s="7">
        <v>45446</v>
      </c>
    </row>
    <row r="61" spans="1:9" x14ac:dyDescent="0.25">
      <c r="A61" t="s">
        <v>508</v>
      </c>
      <c r="B61" s="1">
        <f>AVERAGE(60.166,60.047)</f>
        <v>60.106499999999997</v>
      </c>
      <c r="C61" s="1">
        <f t="shared" si="0"/>
        <v>100.14411862712429</v>
      </c>
      <c r="D61" s="1" t="str">
        <f t="shared" si="1"/>
        <v>No</v>
      </c>
      <c r="E61" t="s">
        <v>535</v>
      </c>
      <c r="F61" t="s">
        <v>96</v>
      </c>
      <c r="G61" s="5">
        <v>600200</v>
      </c>
      <c r="H61" s="1" t="s">
        <v>38</v>
      </c>
      <c r="I61" s="7">
        <v>45446</v>
      </c>
    </row>
    <row r="62" spans="1:9" x14ac:dyDescent="0.25">
      <c r="A62" t="s">
        <v>509</v>
      </c>
      <c r="B62" s="1">
        <f>AVERAGE(53.888,53.494)</f>
        <v>53.691000000000003</v>
      </c>
      <c r="C62" s="1">
        <f t="shared" si="0"/>
        <v>94.67642391112679</v>
      </c>
      <c r="D62" s="1" t="str">
        <f t="shared" si="1"/>
        <v>No</v>
      </c>
      <c r="E62" t="s">
        <v>536</v>
      </c>
      <c r="F62" t="s">
        <v>96</v>
      </c>
      <c r="G62" s="5">
        <v>567100</v>
      </c>
      <c r="H62" s="1" t="s">
        <v>38</v>
      </c>
      <c r="I62" s="7">
        <v>45446</v>
      </c>
    </row>
    <row r="63" spans="1:9" x14ac:dyDescent="0.25">
      <c r="A63" t="s">
        <v>510</v>
      </c>
      <c r="B63" s="1">
        <f>AVERAGE(64.895,64.546)</f>
        <v>64.720500000000001</v>
      </c>
      <c r="C63" s="1">
        <f t="shared" si="0"/>
        <v>98.976143141153088</v>
      </c>
      <c r="D63" s="1" t="str">
        <f t="shared" si="1"/>
        <v>No</v>
      </c>
      <c r="E63" s="1" t="s">
        <v>537</v>
      </c>
      <c r="F63" t="s">
        <v>96</v>
      </c>
      <c r="G63" s="5">
        <v>653900</v>
      </c>
      <c r="H63" s="1" t="s">
        <v>38</v>
      </c>
      <c r="I63" s="7">
        <v>45446</v>
      </c>
    </row>
    <row r="64" spans="1:9" x14ac:dyDescent="0.25">
      <c r="A64" t="s">
        <v>511</v>
      </c>
      <c r="B64" s="1">
        <f>AVERAGE(44.7,45.126)</f>
        <v>44.912999999999997</v>
      </c>
      <c r="C64" s="1">
        <f t="shared" si="0"/>
        <v>97.235332323013637</v>
      </c>
      <c r="D64" s="1" t="str">
        <f t="shared" si="1"/>
        <v>No</v>
      </c>
      <c r="E64" t="s">
        <v>538</v>
      </c>
      <c r="F64" t="s">
        <v>96</v>
      </c>
      <c r="G64" s="5">
        <v>461900</v>
      </c>
      <c r="H64" s="1" t="s">
        <v>38</v>
      </c>
      <c r="I64" s="7">
        <v>45446</v>
      </c>
    </row>
    <row r="65" spans="1:9" x14ac:dyDescent="0.25">
      <c r="A65" t="s">
        <v>512</v>
      </c>
      <c r="B65" s="1">
        <f>AVERAGE(46.356,46.633)</f>
        <v>46.494500000000002</v>
      </c>
      <c r="C65" s="1">
        <f t="shared" si="0"/>
        <v>95.412476913605587</v>
      </c>
      <c r="D65" s="1" t="str">
        <f t="shared" si="1"/>
        <v>No</v>
      </c>
      <c r="E65" t="s">
        <v>539</v>
      </c>
      <c r="F65" t="s">
        <v>96</v>
      </c>
      <c r="G65" s="5">
        <v>487300</v>
      </c>
      <c r="H65" s="1" t="s">
        <v>38</v>
      </c>
      <c r="I65" s="7">
        <v>45446</v>
      </c>
    </row>
    <row r="66" spans="1:9" x14ac:dyDescent="0.25">
      <c r="A66" t="s">
        <v>513</v>
      </c>
      <c r="B66" s="1">
        <f>AVERAGE(47.115,47.282)</f>
        <v>47.198499999999996</v>
      </c>
      <c r="C66" s="1">
        <f t="shared" si="0"/>
        <v>93.112053659498912</v>
      </c>
      <c r="D66" s="1" t="str">
        <f t="shared" si="1"/>
        <v>No</v>
      </c>
      <c r="E66" s="1" t="s">
        <v>540</v>
      </c>
      <c r="F66" t="s">
        <v>96</v>
      </c>
      <c r="G66" s="5">
        <v>506900</v>
      </c>
      <c r="H66" s="1" t="s">
        <v>38</v>
      </c>
      <c r="I66" s="7">
        <v>45446</v>
      </c>
    </row>
    <row r="67" spans="1:9" x14ac:dyDescent="0.25">
      <c r="A67" t="s">
        <v>514</v>
      </c>
      <c r="B67" s="1">
        <f>AVERAGE(49.45,49.436)</f>
        <v>49.442999999999998</v>
      </c>
      <c r="C67" s="1">
        <f t="shared" si="0"/>
        <v>93.819734345351037</v>
      </c>
      <c r="D67" s="1" t="str">
        <f t="shared" si="1"/>
        <v>No</v>
      </c>
      <c r="E67" s="1" t="s">
        <v>541</v>
      </c>
      <c r="F67" t="s">
        <v>96</v>
      </c>
      <c r="G67" s="5">
        <v>527000</v>
      </c>
      <c r="H67" s="1" t="s">
        <v>38</v>
      </c>
      <c r="I67" s="7">
        <v>45446</v>
      </c>
    </row>
    <row r="68" spans="1:9" x14ac:dyDescent="0.25">
      <c r="A68" t="s">
        <v>515</v>
      </c>
      <c r="B68" s="1">
        <f>AVERAGE(53.534,53.786)</f>
        <v>53.66</v>
      </c>
      <c r="C68" s="1">
        <f>B68/G68*1000000</f>
        <v>97.991234477720965</v>
      </c>
      <c r="D68" s="1" t="str">
        <f>IF(ISERROR(FIND("/",E68)), "No", "Yes")</f>
        <v>No</v>
      </c>
      <c r="E68" s="1" t="s">
        <v>542</v>
      </c>
      <c r="F68" t="s">
        <v>96</v>
      </c>
      <c r="G68" s="5">
        <v>547600</v>
      </c>
      <c r="H68" s="1" t="s">
        <v>38</v>
      </c>
      <c r="I68" s="7">
        <v>45446</v>
      </c>
    </row>
    <row r="69" spans="1:9" x14ac:dyDescent="0.25">
      <c r="A69" s="1" t="s">
        <v>643</v>
      </c>
      <c r="B69" s="1">
        <f>AVERAGE(34.945,36.872)</f>
        <v>35.908500000000004</v>
      </c>
      <c r="C69" s="1">
        <f>B69/G69*1000000</f>
        <v>102.1288395904437</v>
      </c>
      <c r="D69" s="1" t="str">
        <f>IF(ISERROR(FIND("/",E69)), "No", "Yes")</f>
        <v>No</v>
      </c>
      <c r="E69" s="1" t="s">
        <v>644</v>
      </c>
      <c r="F69" t="s">
        <v>96</v>
      </c>
      <c r="G69" s="5">
        <v>351600</v>
      </c>
      <c r="H69" s="1" t="s">
        <v>38</v>
      </c>
      <c r="I69" s="7">
        <v>45751</v>
      </c>
    </row>
    <row r="70" spans="1:9" x14ac:dyDescent="0.25">
      <c r="A70" s="1" t="s">
        <v>645</v>
      </c>
      <c r="B70" s="1">
        <f>AVERAGE(35.757,36.217)</f>
        <v>35.986999999999995</v>
      </c>
      <c r="C70" s="1">
        <f>B70/G70*1000000</f>
        <v>98.594520547945194</v>
      </c>
      <c r="D70" s="1" t="str">
        <f>IF(ISERROR(FIND("/",E70)), "No", "Yes")</f>
        <v>No</v>
      </c>
      <c r="E70" s="1" t="s">
        <v>648</v>
      </c>
      <c r="F70" t="s">
        <v>96</v>
      </c>
      <c r="G70" s="5">
        <v>365000</v>
      </c>
      <c r="H70" s="1" t="s">
        <v>38</v>
      </c>
      <c r="I70" s="7">
        <v>45765</v>
      </c>
    </row>
    <row r="71" spans="1:9" x14ac:dyDescent="0.25">
      <c r="A71" s="1" t="s">
        <v>646</v>
      </c>
      <c r="B71" s="1">
        <f>AVERAGE(38.379,38.746)</f>
        <v>38.5625</v>
      </c>
      <c r="C71" s="1">
        <f>B71/G71*1000000</f>
        <v>102.28779840848806</v>
      </c>
      <c r="D71" s="1" t="str">
        <f>IF(ISERROR(FIND("/",E71)), "No", "Yes")</f>
        <v>No</v>
      </c>
      <c r="E71" s="1" t="s">
        <v>649</v>
      </c>
      <c r="F71" t="s">
        <v>96</v>
      </c>
      <c r="G71" s="5">
        <v>377000</v>
      </c>
      <c r="H71" s="1" t="s">
        <v>38</v>
      </c>
      <c r="I71" s="7">
        <v>45765</v>
      </c>
    </row>
    <row r="72" spans="1:9" x14ac:dyDescent="0.25">
      <c r="A72" s="1" t="s">
        <v>647</v>
      </c>
      <c r="B72" s="1">
        <f>AVERAGE(39.426,39.969)</f>
        <v>39.697500000000005</v>
      </c>
      <c r="C72" s="1">
        <f>B72/G72*1000000</f>
        <v>102.05012853470438</v>
      </c>
      <c r="D72" s="1" t="str">
        <f>IF(ISERROR(FIND("/",E72)), "No", "Yes")</f>
        <v>No</v>
      </c>
      <c r="E72" s="1" t="s">
        <v>650</v>
      </c>
      <c r="F72" t="s">
        <v>96</v>
      </c>
      <c r="G72" s="5">
        <v>389000</v>
      </c>
      <c r="H72" s="1" t="s">
        <v>38</v>
      </c>
      <c r="I72" s="7">
        <v>45765</v>
      </c>
    </row>
    <row r="83" spans="5:5" x14ac:dyDescent="0.25">
      <c r="E83"/>
    </row>
    <row r="84" spans="5:5" x14ac:dyDescent="0.25">
      <c r="E84"/>
    </row>
    <row r="85" spans="5:5" x14ac:dyDescent="0.25">
      <c r="E85"/>
    </row>
    <row r="104" spans="5:9" x14ac:dyDescent="0.25">
      <c r="I104" s="6"/>
    </row>
    <row r="105" spans="5:9" x14ac:dyDescent="0.25">
      <c r="I105" s="6"/>
    </row>
    <row r="106" spans="5:9" x14ac:dyDescent="0.25">
      <c r="I106" s="6"/>
    </row>
    <row r="107" spans="5:9" x14ac:dyDescent="0.25">
      <c r="I107" s="6"/>
    </row>
    <row r="108" spans="5:9" x14ac:dyDescent="0.25">
      <c r="E108"/>
      <c r="I108" s="6"/>
    </row>
    <row r="109" spans="5:9" x14ac:dyDescent="0.25">
      <c r="I109" s="6"/>
    </row>
    <row r="110" spans="5:9" x14ac:dyDescent="0.25">
      <c r="I110" s="6"/>
    </row>
    <row r="111" spans="5:9" x14ac:dyDescent="0.25">
      <c r="I111" s="6"/>
    </row>
    <row r="126" spans="9:9" x14ac:dyDescent="0.25">
      <c r="I126" s="6"/>
    </row>
    <row r="127" spans="9:9" x14ac:dyDescent="0.25">
      <c r="I127" s="6"/>
    </row>
    <row r="128" spans="9:9" x14ac:dyDescent="0.25">
      <c r="I128" s="6"/>
    </row>
  </sheetData>
  <conditionalFormatting sqref="C1:C2 C73:C1048576">
    <cfRule type="colorScale" priority="12">
      <colorScale>
        <cfvo type="num" val="50"/>
        <cfvo type="num" val="100"/>
        <cfvo type="num" val="200"/>
        <color theme="5" tint="-0.249977111117893"/>
        <color theme="0"/>
        <color theme="4" tint="-0.249977111117893"/>
      </colorScale>
    </cfRule>
  </conditionalFormatting>
  <conditionalFormatting sqref="C3:C72">
    <cfRule type="colorScale" priority="2">
      <colorScale>
        <cfvo type="num" val="50"/>
        <cfvo type="num" val="100"/>
        <cfvo type="num" val="200"/>
        <color theme="5" tint="-0.249977111117893"/>
        <color theme="0"/>
        <color theme="4" tint="-0.249977111117893"/>
      </colorScale>
    </cfRule>
  </conditionalFormatting>
  <conditionalFormatting sqref="D3:D110 H3:H110">
    <cfRule type="expression" dxfId="3" priority="1">
      <formula>FIND("Yes", D3)</formula>
    </cfRule>
    <cfRule type="expression" dxfId="2" priority="3">
      <formula>FIND("No", D3)</formula>
    </cfRule>
  </conditionalFormatting>
  <conditionalFormatting sqref="H125:H126 D125:D127">
    <cfRule type="expression" dxfId="1" priority="10">
      <formula>FIND("Yes", D125)</formula>
    </cfRule>
    <cfRule type="expression" dxfId="0" priority="11">
      <formula>FIND("No", D125)</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7F81E-C469-4B95-B7F3-9BAFE78E7F96}">
  <sheetPr codeName="Sheet14"/>
  <dimension ref="C1:C12"/>
  <sheetViews>
    <sheetView workbookViewId="0">
      <selection activeCell="C4" sqref="C4"/>
    </sheetView>
  </sheetViews>
  <sheetFormatPr defaultColWidth="8.85546875" defaultRowHeight="15" x14ac:dyDescent="0.25"/>
  <cols>
    <col min="3" max="3" width="209" customWidth="1"/>
  </cols>
  <sheetData>
    <row r="1" spans="3:3" x14ac:dyDescent="0.25">
      <c r="C1" s="2" t="s">
        <v>261</v>
      </c>
    </row>
    <row r="2" spans="3:3" x14ac:dyDescent="0.25">
      <c r="C2" t="s">
        <v>262</v>
      </c>
    </row>
    <row r="7" spans="3:3" x14ac:dyDescent="0.25">
      <c r="C7" s="2" t="s">
        <v>107</v>
      </c>
    </row>
    <row r="8" spans="3:3" x14ac:dyDescent="0.25">
      <c r="C8" t="s">
        <v>103</v>
      </c>
    </row>
    <row r="10" spans="3:3" x14ac:dyDescent="0.25">
      <c r="C10" t="s">
        <v>104</v>
      </c>
    </row>
    <row r="11" spans="3:3" x14ac:dyDescent="0.25">
      <c r="C11" t="s">
        <v>106</v>
      </c>
    </row>
    <row r="12" spans="3:3" x14ac:dyDescent="0.25">
      <c r="C12"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G0</vt:lpstr>
      <vt:lpstr>G1</vt:lpstr>
      <vt:lpstr>G2</vt:lpstr>
      <vt:lpstr>G3</vt:lpstr>
      <vt:lpstr>G4</vt:lpstr>
      <vt:lpstr>G5</vt:lpstr>
      <vt:lpstr>G8</vt:lpstr>
      <vt:lpstr>G9</vt:lpstr>
      <vt:lpstr>G13</vt:lpstr>
      <vt:lpstr>G20</vt:lpstr>
      <vt:lpstr>G21</vt:lpstr>
      <vt:lpstr>G22</vt:lpstr>
      <vt:lpstr>Signalling</vt:lpstr>
      <vt:lpstr>Dummy and Junk</vt:lpstr>
      <vt:lpstr>Glue</vt:lpstr>
      <vt:lpstr>Conventions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14437</dc:creator>
  <cp:lastModifiedBy>Colin Yancey</cp:lastModifiedBy>
  <cp:lastPrinted>2024-05-15T09:38:16Z</cp:lastPrinted>
  <dcterms:created xsi:type="dcterms:W3CDTF">2023-03-03T21:10:33Z</dcterms:created>
  <dcterms:modified xsi:type="dcterms:W3CDTF">2026-03-05T15:42:51Z</dcterms:modified>
</cp:coreProperties>
</file>